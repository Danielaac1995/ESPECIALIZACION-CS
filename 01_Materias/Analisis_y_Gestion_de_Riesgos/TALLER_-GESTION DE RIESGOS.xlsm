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2.xml" ContentType="application/vnd.openxmlformats-officedocument.drawing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omments/comment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905" firstSheet="2" activeTab="2" autoFilterDateGrouping="1"/>
  </bookViews>
  <sheets>
    <sheet xmlns:r="http://schemas.openxmlformats.org/officeDocument/2006/relationships" name="INICIO" sheetId="1" state="visible" r:id="rId1"/>
    <sheet xmlns:r="http://schemas.openxmlformats.org/officeDocument/2006/relationships" name="Alcance" sheetId="2" state="visible" r:id="rId2"/>
    <sheet xmlns:r="http://schemas.openxmlformats.org/officeDocument/2006/relationships" name="Activos" sheetId="3" state="visible" r:id="rId3"/>
    <sheet xmlns:r="http://schemas.openxmlformats.org/officeDocument/2006/relationships" name="Controles" sheetId="4" state="visible" r:id="rId4"/>
    <sheet xmlns:r="http://schemas.openxmlformats.org/officeDocument/2006/relationships" name="Inventario Amenazas" sheetId="5" state="visible" r:id="rId5"/>
    <sheet xmlns:r="http://schemas.openxmlformats.org/officeDocument/2006/relationships" name="TABLAS" sheetId="6" state="visible" r:id="rId6"/>
    <sheet xmlns:r="http://schemas.openxmlformats.org/officeDocument/2006/relationships" name="escenario de riesgo" sheetId="7" state="visible" r:id="rId7"/>
    <sheet xmlns:r="http://schemas.openxmlformats.org/officeDocument/2006/relationships" name="Agentes" sheetId="8" state="visible" r:id="rId8"/>
    <sheet xmlns:r="http://schemas.openxmlformats.org/officeDocument/2006/relationships" name="calificacion-Sincontrol" sheetId="9" state="hidden" r:id="rId9"/>
    <sheet xmlns:r="http://schemas.openxmlformats.org/officeDocument/2006/relationships" name="Aceptabilidad-SinControl" sheetId="10" state="hidden" r:id="rId10"/>
    <sheet xmlns:r="http://schemas.openxmlformats.org/officeDocument/2006/relationships" name="calificacion-Control" sheetId="11" state="visible" r:id="rId11"/>
    <sheet xmlns:r="http://schemas.openxmlformats.org/officeDocument/2006/relationships" name="Aceptabilidad-Control" sheetId="12" state="visible" r:id="rId12"/>
    <sheet xmlns:r="http://schemas.openxmlformats.org/officeDocument/2006/relationships" name="Lista de riesgos altos" sheetId="13" state="visible" r:id="rId13"/>
    <sheet xmlns:r="http://schemas.openxmlformats.org/officeDocument/2006/relationships" name="Tratamiento" sheetId="14" state="visible" r:id="rId14"/>
    <sheet xmlns:r="http://schemas.openxmlformats.org/officeDocument/2006/relationships" name="Hoja de datos" sheetId="15" state="visible" r:id="rId15"/>
    <sheet xmlns:r="http://schemas.openxmlformats.org/officeDocument/2006/relationships" name="FIPS" sheetId="16" state="hidden" r:id="rId16"/>
  </sheets>
  <definedNames>
    <definedName name="Control">Tabla1[[#Headers],[NOMBRE DEL CONTROL]]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45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4"/>
    </font>
    <font>
      <name val="Arial"/>
      <family val="2"/>
      <sz val="8"/>
    </font>
    <font>
      <name val="Arial"/>
      <family val="2"/>
      <b val="1"/>
      <sz val="14"/>
    </font>
    <font>
      <name val="Arial"/>
      <family val="2"/>
      <b val="1"/>
      <color indexed="13"/>
      <sz val="12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b val="1"/>
      <sz val="10"/>
    </font>
    <font>
      <name val="Arial"/>
      <family val="2"/>
      <b val="1"/>
      <color indexed="12"/>
      <sz val="14"/>
    </font>
    <font>
      <name val="Arial"/>
      <family val="2"/>
      <sz val="10"/>
    </font>
    <font>
      <name val="Arial"/>
      <family val="2"/>
      <b val="1"/>
      <sz val="18"/>
    </font>
    <font>
      <name val="Arial"/>
      <family val="2"/>
      <b val="1"/>
      <sz val="16"/>
    </font>
    <font>
      <name val="Arial"/>
      <family val="2"/>
      <b val="1"/>
      <color rgb="FFFF0000"/>
      <sz val="22"/>
    </font>
    <font>
      <name val="Arial"/>
      <family val="2"/>
      <b val="1"/>
      <sz val="11"/>
    </font>
    <font>
      <name val="Arial"/>
      <family val="2"/>
      <sz val="11"/>
    </font>
    <font>
      <name val="Arial"/>
      <family val="2"/>
      <b val="1"/>
      <color rgb="FFFF0000"/>
      <sz val="11"/>
    </font>
    <font>
      <name val="Arial"/>
      <family val="2"/>
      <b val="1"/>
      <sz val="9"/>
    </font>
    <font>
      <name val="Arial"/>
      <family val="2"/>
      <sz val="9"/>
    </font>
    <font>
      <name val="Arial"/>
      <family val="2"/>
      <b val="1"/>
      <color rgb="FF000000"/>
      <sz val="10"/>
    </font>
    <font>
      <name val="Arial"/>
      <family val="2"/>
      <color rgb="FF000000"/>
      <sz val="10"/>
    </font>
    <font>
      <name val="Verdana"/>
      <family val="2"/>
      <color rgb="FF000000"/>
      <sz val="10"/>
    </font>
    <font>
      <name val="Times New Roman"/>
      <family val="1"/>
      <b val="1"/>
      <color rgb="FF000000"/>
      <sz val="10"/>
    </font>
    <font>
      <name val="Arial"/>
      <family val="2"/>
      <b val="1"/>
      <color rgb="FF000000"/>
      <sz val="12"/>
    </font>
    <font>
      <name val="Arial"/>
      <family val="2"/>
      <b val="1"/>
      <color rgb="FF000066"/>
      <sz val="12"/>
    </font>
    <font>
      <name val="Arial"/>
      <family val="2"/>
      <color rgb="FF000066"/>
      <sz val="12"/>
    </font>
    <font>
      <name val="Verdana"/>
      <family val="2"/>
      <color rgb="FFFF0000"/>
      <sz val="10"/>
    </font>
    <font>
      <name val="Arial"/>
      <family val="2"/>
      <color rgb="FFFF0000"/>
      <sz val="10"/>
    </font>
    <font>
      <name val="Tahoma"/>
      <family val="2"/>
      <b val="1"/>
      <color indexed="81"/>
      <sz val="12"/>
    </font>
    <font>
      <name val="Tahoma"/>
      <family val="2"/>
      <b val="1"/>
      <color indexed="81"/>
      <sz val="9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b val="1"/>
      <color theme="0"/>
      <sz val="16"/>
    </font>
    <font>
      <name val="Calibri"/>
      <b val="1"/>
      <color rgb="00FFFFFF"/>
      <sz val="13"/>
    </font>
    <font>
      <name val="Calibri"/>
      <color rgb="00FFFFFF"/>
      <sz val="10"/>
    </font>
    <font>
      <name val="Calibri"/>
      <b val="1"/>
      <color rgb="00FFFFFF"/>
      <sz val="11"/>
    </font>
    <font>
      <name val="Calibri"/>
      <b val="1"/>
      <sz val="10"/>
    </font>
    <font>
      <name val="Calibri"/>
      <color rgb="00000000"/>
      <sz val="10"/>
    </font>
    <font>
      <name val="Calibri"/>
      <color rgb="007B400A"/>
      <sz val="10"/>
    </font>
    <font>
      <name val="Calibri"/>
      <color rgb="00FFFFFF"/>
      <sz val="9"/>
    </font>
  </fonts>
  <fills count="29">
    <fill>
      <patternFill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001F3864"/>
      </patternFill>
    </fill>
    <fill>
      <patternFill patternType="solid">
        <fgColor rgb="002E4057"/>
      </patternFill>
    </fill>
    <fill>
      <patternFill patternType="solid">
        <fgColor rgb="002E75B6"/>
      </patternFill>
    </fill>
    <fill>
      <patternFill patternType="solid">
        <fgColor rgb="00F2F2F2"/>
      </patternFill>
    </fill>
    <fill>
      <patternFill patternType="solid">
        <fgColor rgb="00FFFFFF"/>
      </patternFill>
    </fill>
    <fill>
      <patternFill patternType="solid">
        <fgColor rgb="00EBF3FA"/>
      </patternFill>
    </fill>
    <fill>
      <patternFill patternType="solid">
        <fgColor rgb="00F4F9FE"/>
      </patternFill>
    </fill>
    <fill>
      <patternFill patternType="solid">
        <fgColor rgb="00FFF2CC"/>
      </patternFill>
    </fill>
    <fill>
      <patternFill patternType="solid">
        <fgColor rgb="00FFFDE7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002E75B6"/>
      </left>
      <right style="medium">
        <color rgb="002E75B6"/>
      </right>
      <top style="medium">
        <color rgb="002E75B6"/>
      </top>
      <bottom style="medium">
        <color rgb="002E75B6"/>
      </bottom>
    </border>
    <border>
      <left/>
      <right/>
      <top style="medium">
        <color rgb="002E75B6"/>
      </top>
      <bottom/>
      <diagonal/>
    </border>
    <border>
      <left/>
      <right style="medium">
        <color rgb="002E75B6"/>
      </right>
      <top style="medium">
        <color rgb="002E75B6"/>
      </top>
      <bottom/>
      <diagonal/>
    </border>
    <border>
      <left/>
      <right/>
      <top style="medium">
        <color rgb="002E75B6"/>
      </top>
      <bottom style="medium">
        <color rgb="002E75B6"/>
      </bottom>
      <diagonal/>
    </border>
    <border>
      <left/>
      <right style="medium">
        <color rgb="002E75B6"/>
      </right>
      <top style="medium">
        <color rgb="002E75B6"/>
      </top>
      <bottom style="medium">
        <color rgb="002E75B6"/>
      </bottom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/>
      <right/>
      <top style="thin">
        <color rgb="00000000"/>
      </top>
      <bottom/>
      <diagonal/>
    </border>
    <border>
      <left/>
      <right style="thin">
        <color rgb="00000000"/>
      </right>
      <top style="thin">
        <color rgb="00000000"/>
      </top>
      <bottom/>
      <diagonal/>
    </border>
    <border>
      <left/>
      <right style="thin">
        <color rgb="00000000"/>
      </right>
      <top style="thin">
        <color rgb="00000000"/>
      </top>
      <bottom style="thin">
        <color rgb="00000000"/>
      </bottom>
      <diagonal/>
    </border>
  </borders>
  <cellStyleXfs count="5">
    <xf numFmtId="0" fontId="0" fillId="0" borderId="0"/>
    <xf numFmtId="0" fontId="11" fillId="0" borderId="0"/>
    <xf numFmtId="9" fontId="11" fillId="0" borderId="0"/>
    <xf numFmtId="0" fontId="2" fillId="0" borderId="0"/>
    <xf numFmtId="0" fontId="2" fillId="0" borderId="0"/>
  </cellStyleXfs>
  <cellXfs count="237">
    <xf numFmtId="0" fontId="0" fillId="0" borderId="0" pivotButton="0" quotePrefix="0" xfId="0"/>
    <xf numFmtId="0" fontId="0" fillId="0" borderId="1" pivotButton="0" quotePrefix="0" xfId="0"/>
    <xf numFmtId="0" fontId="3" fillId="0" borderId="1" pivotButton="0" quotePrefix="0" xfId="0"/>
    <xf numFmtId="0" fontId="8" fillId="0" borderId="4" applyAlignment="1" pivotButton="0" quotePrefix="0" xfId="0">
      <alignment horizontal="center" vertical="top" wrapText="1"/>
    </xf>
    <xf numFmtId="0" fontId="0" fillId="0" borderId="2" applyAlignment="1" pivotButton="0" quotePrefix="0" xfId="0">
      <alignment vertical="top" wrapText="1"/>
    </xf>
    <xf numFmtId="0" fontId="11" fillId="0" borderId="2" applyAlignment="1" pivotButton="0" quotePrefix="0" xfId="0">
      <alignment wrapText="1"/>
    </xf>
    <xf numFmtId="0" fontId="11" fillId="0" borderId="3" applyAlignment="1" pivotButton="0" quotePrefix="0" xfId="0">
      <alignment wrapText="1"/>
    </xf>
    <xf numFmtId="0" fontId="11" fillId="0" borderId="1" applyAlignment="1" pivotButton="0" quotePrefix="0" xfId="0">
      <alignment wrapText="1"/>
    </xf>
    <xf numFmtId="0" fontId="8" fillId="4" borderId="1" applyAlignment="1" pivotButton="0" quotePrefix="0" xfId="0">
      <alignment horizontal="center" wrapText="1"/>
    </xf>
    <xf numFmtId="0" fontId="8" fillId="5" borderId="1" applyAlignment="1" pivotButton="0" quotePrefix="0" xfId="0">
      <alignment horizontal="center" wrapText="1"/>
    </xf>
    <xf numFmtId="0" fontId="8" fillId="6" borderId="1" applyAlignment="1" pivotButton="0" quotePrefix="0" xfId="0">
      <alignment horizontal="center" wrapText="1"/>
    </xf>
    <xf numFmtId="0" fontId="8" fillId="7" borderId="1" applyAlignment="1" pivotButton="0" quotePrefix="0" xfId="0">
      <alignment horizontal="center" wrapText="1"/>
    </xf>
    <xf numFmtId="0" fontId="9" fillId="3" borderId="18" applyAlignment="1" pivotButton="0" quotePrefix="0" xfId="0">
      <alignment vertical="center" wrapText="1"/>
    </xf>
    <xf numFmtId="0" fontId="9" fillId="3" borderId="19" applyAlignment="1" pivotButton="0" quotePrefix="0" xfId="0">
      <alignment vertical="center" wrapText="1"/>
    </xf>
    <xf numFmtId="0" fontId="6" fillId="2" borderId="3" applyAlignment="1" pivotButton="0" quotePrefix="0" xfId="0">
      <alignment horizontal="center" vertical="top" wrapText="1"/>
    </xf>
    <xf numFmtId="0" fontId="12" fillId="10" borderId="1" applyAlignment="1" pivotButton="0" quotePrefix="0" xfId="0">
      <alignment horizontal="center" vertical="center" wrapText="1"/>
    </xf>
    <xf numFmtId="0" fontId="5" fillId="9" borderId="1" pivotButton="0" quotePrefix="0" xfId="0"/>
    <xf numFmtId="0" fontId="15" fillId="0" borderId="2" applyAlignment="1" pivotButton="0" quotePrefix="0" xfId="0">
      <alignment horizontal="center" vertical="center" wrapText="1"/>
    </xf>
    <xf numFmtId="0" fontId="15" fillId="0" borderId="27" applyAlignment="1" pivotButton="0" quotePrefix="0" xfId="0">
      <alignment horizontal="center" vertical="center" wrapText="1"/>
    </xf>
    <xf numFmtId="0" fontId="8" fillId="0" borderId="28" applyAlignment="1" pivotButton="0" quotePrefix="0" xfId="0">
      <alignment horizontal="center" vertical="top" wrapText="1"/>
    </xf>
    <xf numFmtId="0" fontId="6" fillId="2" borderId="29" applyAlignment="1" pivotButton="0" quotePrefix="0" xfId="0">
      <alignment horizontal="center" vertical="center" wrapText="1"/>
    </xf>
    <xf numFmtId="0" fontId="8" fillId="0" borderId="32" applyAlignment="1" pivotButton="0" quotePrefix="0" xfId="0">
      <alignment horizontal="center" vertical="center" wrapText="1"/>
    </xf>
    <xf numFmtId="0" fontId="8" fillId="0" borderId="33" applyAlignment="1" pivotButton="0" quotePrefix="0" xfId="0">
      <alignment horizontal="center" vertical="center" wrapText="1"/>
    </xf>
    <xf numFmtId="0" fontId="8" fillId="5" borderId="7" applyAlignment="1" pivotButton="0" quotePrefix="0" xfId="0">
      <alignment horizontal="center" wrapText="1"/>
    </xf>
    <xf numFmtId="0" fontId="8" fillId="5" borderId="8" applyAlignment="1" pivotButton="0" quotePrefix="0" xfId="0">
      <alignment horizontal="center" wrapText="1"/>
    </xf>
    <xf numFmtId="0" fontId="8" fillId="4" borderId="8" applyAlignment="1" pivotButton="0" quotePrefix="0" xfId="0">
      <alignment horizontal="center" wrapText="1"/>
    </xf>
    <xf numFmtId="10" fontId="8" fillId="4" borderId="9" applyAlignment="1" pivotButton="0" quotePrefix="0" xfId="0">
      <alignment horizontal="center" wrapText="1"/>
    </xf>
    <xf numFmtId="0" fontId="8" fillId="6" borderId="13" applyAlignment="1" pivotButton="0" quotePrefix="0" xfId="0">
      <alignment horizontal="center" wrapText="1"/>
    </xf>
    <xf numFmtId="10" fontId="8" fillId="4" borderId="10" applyAlignment="1" pivotButton="0" quotePrefix="0" xfId="0">
      <alignment horizontal="center" wrapText="1"/>
    </xf>
    <xf numFmtId="0" fontId="8" fillId="7" borderId="13" applyAlignment="1" pivotButton="0" quotePrefix="0" xfId="0">
      <alignment horizontal="center" wrapText="1"/>
    </xf>
    <xf numFmtId="0" fontId="8" fillId="7" borderId="14" applyAlignment="1" pivotButton="0" quotePrefix="0" xfId="0">
      <alignment horizontal="center" wrapText="1"/>
    </xf>
    <xf numFmtId="0" fontId="8" fillId="7" borderId="11" applyAlignment="1" pivotButton="0" quotePrefix="0" xfId="0">
      <alignment horizontal="center" wrapText="1"/>
    </xf>
    <xf numFmtId="0" fontId="8" fillId="6" borderId="11" applyAlignment="1" pivotButton="0" quotePrefix="0" xfId="0">
      <alignment horizontal="center" wrapText="1"/>
    </xf>
    <xf numFmtId="0" fontId="8" fillId="5" borderId="11" applyAlignment="1" pivotButton="0" quotePrefix="0" xfId="0">
      <alignment horizontal="center" wrapText="1"/>
    </xf>
    <xf numFmtId="10" fontId="8" fillId="5" borderId="12" applyAlignment="1" pivotButton="0" quotePrefix="0" xfId="0">
      <alignment horizontal="center" wrapText="1"/>
    </xf>
    <xf numFmtId="0" fontId="14" fillId="0" borderId="0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9" fillId="0" borderId="0" pivotButton="0" quotePrefix="0" xfId="0"/>
    <xf numFmtId="0" fontId="9" fillId="7" borderId="0" pivotButton="0" quotePrefix="0" xfId="0"/>
    <xf numFmtId="0" fontId="9" fillId="6" borderId="0" pivotButton="0" quotePrefix="0" xfId="0"/>
    <xf numFmtId="0" fontId="9" fillId="5" borderId="0" pivotButton="0" quotePrefix="0" xfId="0"/>
    <xf numFmtId="0" fontId="9" fillId="4" borderId="0" pivotButton="0" quotePrefix="0" xfId="0"/>
    <xf numFmtId="0" fontId="11" fillId="0" borderId="1" applyAlignment="1" pivotButton="0" quotePrefix="0" xfId="0">
      <alignment horizontal="left" wrapText="1"/>
    </xf>
    <xf numFmtId="0" fontId="7" fillId="0" borderId="1" applyAlignment="1" pivotButton="0" quotePrefix="0" xfId="0">
      <alignment horizontal="left" wrapText="1"/>
    </xf>
    <xf numFmtId="0" fontId="7" fillId="0" borderId="0" pivotButton="0" quotePrefix="0" xfId="0"/>
    <xf numFmtId="0" fontId="0" fillId="0" borderId="16" pivotButton="0" quotePrefix="0" xfId="0"/>
    <xf numFmtId="0" fontId="11" fillId="0" borderId="16" applyAlignment="1" pivotButton="0" quotePrefix="0" xfId="0">
      <alignment wrapText="1"/>
    </xf>
    <xf numFmtId="0" fontId="5" fillId="9" borderId="34" pivotButton="0" quotePrefix="0" xfId="0"/>
    <xf numFmtId="0" fontId="5" fillId="9" borderId="34" applyAlignment="1" pivotButton="0" quotePrefix="0" xfId="0">
      <alignment horizontal="center" vertical="center" wrapText="1"/>
    </xf>
    <xf numFmtId="0" fontId="0" fillId="11" borderId="1" pivotButton="0" quotePrefix="0" xfId="0"/>
    <xf numFmtId="0" fontId="11" fillId="11" borderId="1" applyAlignment="1" pivotButton="0" quotePrefix="0" xfId="0">
      <alignment wrapText="1"/>
    </xf>
    <xf numFmtId="0" fontId="3" fillId="0" borderId="0" pivotButton="0" quotePrefix="0" xfId="0"/>
    <xf numFmtId="0" fontId="3" fillId="0" borderId="17" pivotButton="0" quotePrefix="0" xfId="0"/>
    <xf numFmtId="0" fontId="0" fillId="0" borderId="1" applyAlignment="1" pivotButton="0" quotePrefix="0" xfId="0">
      <alignment horizontal="center"/>
    </xf>
    <xf numFmtId="0" fontId="19" fillId="0" borderId="20" applyAlignment="1" pivotButton="0" quotePrefix="0" xfId="0">
      <alignment wrapText="1"/>
    </xf>
    <xf numFmtId="0" fontId="19" fillId="0" borderId="20" applyAlignment="1" pivotButton="0" quotePrefix="0" xfId="0">
      <alignment horizontal="center" vertical="center"/>
    </xf>
    <xf numFmtId="0" fontId="19" fillId="0" borderId="20" pivotButton="0" quotePrefix="0" xfId="0"/>
    <xf numFmtId="0" fontId="19" fillId="0" borderId="1" applyAlignment="1" pivotButton="0" quotePrefix="0" xfId="0">
      <alignment wrapText="1"/>
    </xf>
    <xf numFmtId="0" fontId="19" fillId="0" borderId="1" applyAlignment="1" pivotButton="0" quotePrefix="0" xfId="0">
      <alignment horizontal="center" vertical="center"/>
    </xf>
    <xf numFmtId="0" fontId="19" fillId="0" borderId="1" pivotButton="0" quotePrefix="0" xfId="0"/>
    <xf numFmtId="0" fontId="18" fillId="0" borderId="1" applyAlignment="1" pivotButton="0" quotePrefix="0" xfId="0">
      <alignment horizontal="center"/>
    </xf>
    <xf numFmtId="0" fontId="18" fillId="0" borderId="1" applyAlignment="1" pivotButton="0" quotePrefix="0" xfId="0">
      <alignment horizontal="center" vertical="center"/>
    </xf>
    <xf numFmtId="0" fontId="19" fillId="0" borderId="0" pivotButton="0" quotePrefix="0" xfId="0"/>
    <xf numFmtId="0" fontId="18" fillId="0" borderId="1" pivotButton="0" quotePrefix="0" xfId="0"/>
    <xf numFmtId="0" fontId="0" fillId="0" borderId="0" applyAlignment="1" pivotButton="0" quotePrefix="0" xfId="0">
      <alignment horizontal="center"/>
    </xf>
    <xf numFmtId="0" fontId="5" fillId="10" borderId="34" pivotButton="0" quotePrefix="0" xfId="0"/>
    <xf numFmtId="0" fontId="0" fillId="10" borderId="1" pivotButton="0" quotePrefix="0" xfId="0"/>
    <xf numFmtId="0" fontId="11" fillId="11" borderId="1" pivotButton="0" quotePrefix="0" xfId="0"/>
    <xf numFmtId="0" fontId="0" fillId="0" borderId="35" applyAlignment="1" pivotButton="0" quotePrefix="0" xfId="0">
      <alignment horizontal="center"/>
    </xf>
    <xf numFmtId="0" fontId="11" fillId="0" borderId="0" pivotButton="0" quotePrefix="0" xfId="1"/>
    <xf numFmtId="0" fontId="20" fillId="14" borderId="40" applyAlignment="1" pivotButton="0" quotePrefix="0" xfId="1">
      <alignment horizontal="center" vertical="center" wrapText="1" readingOrder="1"/>
    </xf>
    <xf numFmtId="0" fontId="22" fillId="14" borderId="40" applyAlignment="1" pivotButton="0" quotePrefix="0" xfId="1">
      <alignment horizontal="left" vertical="center" wrapText="1" indent="3" readingOrder="1"/>
    </xf>
    <xf numFmtId="0" fontId="9" fillId="13" borderId="1" applyAlignment="1" pivotButton="0" quotePrefix="0" xfId="1">
      <alignment vertical="center"/>
    </xf>
    <xf numFmtId="0" fontId="11" fillId="0" borderId="1" pivotButton="0" quotePrefix="0" xfId="1"/>
    <xf numFmtId="0" fontId="20" fillId="0" borderId="40" applyAlignment="1" pivotButton="0" quotePrefix="0" xfId="1">
      <alignment horizontal="center" vertical="center" wrapText="1" readingOrder="1"/>
    </xf>
    <xf numFmtId="0" fontId="23" fillId="0" borderId="40" applyAlignment="1" pivotButton="0" quotePrefix="0" xfId="1">
      <alignment horizontal="center" vertical="center" wrapText="1" readingOrder="1"/>
    </xf>
    <xf numFmtId="0" fontId="22" fillId="0" borderId="40" applyAlignment="1" pivotButton="0" quotePrefix="0" xfId="1">
      <alignment horizontal="left" vertical="center" wrapText="1" readingOrder="1"/>
    </xf>
    <xf numFmtId="0" fontId="11" fillId="0" borderId="1" applyAlignment="1" pivotButton="0" quotePrefix="0" xfId="1">
      <alignment horizontal="center" vertical="center"/>
    </xf>
    <xf numFmtId="0" fontId="11" fillId="0" borderId="1" applyAlignment="1" pivotButton="0" quotePrefix="0" xfId="1">
      <alignment horizontal="center"/>
    </xf>
    <xf numFmtId="0" fontId="11" fillId="0" borderId="36" applyAlignment="1" pivotButton="0" quotePrefix="0" xfId="1">
      <alignment horizontal="right" vertical="center"/>
    </xf>
    <xf numFmtId="10" fontId="0" fillId="12" borderId="1" applyAlignment="1" pivotButton="0" quotePrefix="0" xfId="2">
      <alignment horizontal="center" vertical="center" wrapText="1"/>
    </xf>
    <xf numFmtId="10" fontId="0" fillId="15" borderId="1" applyAlignment="1" pivotButton="0" quotePrefix="0" xfId="2">
      <alignment horizontal="center" vertical="center" wrapText="1"/>
    </xf>
    <xf numFmtId="0" fontId="9" fillId="7" borderId="41" pivotButton="0" quotePrefix="0" xfId="1"/>
    <xf numFmtId="10" fontId="0" fillId="16" borderId="1" applyAlignment="1" pivotButton="0" quotePrefix="0" xfId="2">
      <alignment horizontal="center" vertical="center" wrapText="1"/>
    </xf>
    <xf numFmtId="0" fontId="9" fillId="6" borderId="31" pivotButton="0" quotePrefix="0" xfId="1"/>
    <xf numFmtId="0" fontId="11" fillId="0" borderId="0" applyAlignment="1" pivotButton="0" quotePrefix="0" xfId="1">
      <alignment horizontal="right"/>
    </xf>
    <xf numFmtId="0" fontId="9" fillId="4" borderId="42" pivotButton="0" quotePrefix="0" xfId="1"/>
    <xf numFmtId="0" fontId="11" fillId="0" borderId="0" applyAlignment="1" pivotButton="0" quotePrefix="0" xfId="1">
      <alignment horizontal="center"/>
    </xf>
    <xf numFmtId="0" fontId="22" fillId="14" borderId="40" applyAlignment="1" pivotButton="0" quotePrefix="0" xfId="1">
      <alignment horizontal="left" vertical="center" wrapText="1" readingOrder="1"/>
    </xf>
    <xf numFmtId="0" fontId="20" fillId="0" borderId="40" applyAlignment="1" pivotButton="0" quotePrefix="0" xfId="1">
      <alignment horizontal="left" vertical="top" wrapText="1" readingOrder="1"/>
    </xf>
    <xf numFmtId="0" fontId="27" fillId="0" borderId="40" applyAlignment="1" pivotButton="0" quotePrefix="0" xfId="1">
      <alignment horizontal="left" vertical="center" wrapText="1" readingOrder="1"/>
    </xf>
    <xf numFmtId="0" fontId="11" fillId="0" borderId="1" applyAlignment="1" pivotButton="0" quotePrefix="0" xfId="0">
      <alignment horizontal="center" vertical="center"/>
    </xf>
    <xf numFmtId="0" fontId="16" fillId="0" borderId="1" applyAlignment="1" pivotButton="0" quotePrefix="0" xfId="0">
      <alignment horizontal="center" vertical="center" textRotation="90" wrapText="1"/>
    </xf>
    <xf numFmtId="0" fontId="0" fillId="0" borderId="0" applyAlignment="1" pivotButton="0" quotePrefix="0" xfId="0">
      <alignment horizontal="center" vertical="center"/>
    </xf>
    <xf numFmtId="0" fontId="9" fillId="7" borderId="0" applyAlignment="1" pivotButton="0" quotePrefix="0" xfId="0">
      <alignment horizontal="center" vertical="center"/>
    </xf>
    <xf numFmtId="1" fontId="9" fillId="7" borderId="0" applyAlignment="1" pivotButton="0" quotePrefix="0" xfId="0">
      <alignment horizontal="center" vertical="center"/>
    </xf>
    <xf numFmtId="0" fontId="9" fillId="6" borderId="0" applyAlignment="1" pivotButton="0" quotePrefix="0" xfId="0">
      <alignment horizontal="center" vertical="center"/>
    </xf>
    <xf numFmtId="1" fontId="9" fillId="6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center" vertical="center"/>
    </xf>
    <xf numFmtId="1" fontId="9" fillId="5" borderId="0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1" fontId="9" fillId="4" borderId="0" applyAlignment="1" pivotButton="0" quotePrefix="0" xfId="0">
      <alignment horizontal="center" vertical="center"/>
    </xf>
    <xf numFmtId="0" fontId="18" fillId="3" borderId="11" applyAlignment="1" pivotButton="0" quotePrefix="0" xfId="0">
      <alignment vertical="center" textRotation="90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1" pivotButton="0" quotePrefix="0" xfId="0"/>
    <xf numFmtId="0" fontId="2" fillId="0" borderId="0" pivotButton="0" quotePrefix="0" xfId="3"/>
    <xf numFmtId="0" fontId="2" fillId="0" borderId="0" applyAlignment="1" pivotButton="0" quotePrefix="0" xfId="3">
      <alignment horizontal="left" vertical="center"/>
    </xf>
    <xf numFmtId="0" fontId="2" fillId="0" borderId="1" applyAlignment="1" pivotButton="0" quotePrefix="0" xfId="3">
      <alignment horizontal="left" vertical="center"/>
    </xf>
    <xf numFmtId="0" fontId="31" fillId="17" borderId="1" applyAlignment="1" pivotButton="0" quotePrefix="0" xfId="3">
      <alignment horizontal="left" vertical="center"/>
    </xf>
    <xf numFmtId="0" fontId="33" fillId="17" borderId="1" applyAlignment="1" pivotButton="0" quotePrefix="0" xfId="3">
      <alignment horizontal="left" vertical="center"/>
    </xf>
    <xf numFmtId="0" fontId="33" fillId="17" borderId="1" applyAlignment="1" pivotButton="0" quotePrefix="0" xfId="3">
      <alignment vertical="center"/>
    </xf>
    <xf numFmtId="0" fontId="2" fillId="0" borderId="1" pivotButton="0" quotePrefix="0" xfId="3"/>
    <xf numFmtId="0" fontId="36" fillId="17" borderId="1" applyAlignment="1" pivotButton="0" quotePrefix="0" xfId="0">
      <alignment horizontal="center"/>
    </xf>
    <xf numFmtId="0" fontId="9" fillId="0" borderId="1" applyAlignment="1" pivotButton="0" quotePrefix="0" xfId="0">
      <alignment vertical="center" wrapText="1"/>
    </xf>
    <xf numFmtId="0" fontId="11" fillId="0" borderId="1" applyAlignment="1" pivotButton="0" quotePrefix="0" xfId="0">
      <alignment horizontal="right"/>
    </xf>
    <xf numFmtId="0" fontId="9" fillId="0" borderId="1" applyAlignment="1" pivotButton="0" quotePrefix="0" xfId="0">
      <alignment horizontal="right"/>
    </xf>
    <xf numFmtId="0" fontId="9" fillId="0" borderId="0" applyAlignment="1" pivotButton="0" quotePrefix="0" xfId="0">
      <alignment horizontal="right"/>
    </xf>
    <xf numFmtId="0" fontId="0" fillId="16" borderId="1" pivotButton="0" quotePrefix="0" xfId="0"/>
    <xf numFmtId="0" fontId="0" fillId="18" borderId="1" pivotButton="0" quotePrefix="0" xfId="0"/>
    <xf numFmtId="0" fontId="0" fillId="19" borderId="1" pivotButton="0" quotePrefix="0" xfId="0"/>
    <xf numFmtId="0" fontId="11" fillId="0" borderId="1" applyAlignment="1" pivotButton="0" quotePrefix="0" xfId="0">
      <alignment horizontal="right" vertical="top" wrapText="1"/>
    </xf>
    <xf numFmtId="0" fontId="35" fillId="0" borderId="0" applyAlignment="1" pivotButton="0" quotePrefix="0" xfId="0">
      <alignment vertical="center" wrapText="1"/>
    </xf>
    <xf numFmtId="0" fontId="9" fillId="0" borderId="2" applyAlignment="1" pivotButton="0" quotePrefix="0" xfId="0">
      <alignment vertical="top" wrapText="1"/>
    </xf>
    <xf numFmtId="0" fontId="9" fillId="0" borderId="2" applyAlignment="1" pivotButton="0" quotePrefix="0" xfId="0">
      <alignment horizontal="center" vertical="top" wrapText="1"/>
    </xf>
    <xf numFmtId="0" fontId="9" fillId="3" borderId="2" applyAlignment="1" pivotButton="0" quotePrefix="0" xfId="0">
      <alignment horizontal="center" vertical="top" wrapText="1"/>
    </xf>
    <xf numFmtId="0" fontId="9" fillId="0" borderId="2" applyAlignment="1" pivotButton="0" quotePrefix="0" xfId="0">
      <alignment horizontal="center" wrapText="1"/>
    </xf>
    <xf numFmtId="0" fontId="9" fillId="0" borderId="2" applyAlignment="1" pivotButton="0" quotePrefix="0" xfId="0">
      <alignment wrapText="1"/>
    </xf>
    <xf numFmtId="0" fontId="9" fillId="3" borderId="21" applyAlignment="1" pivotButton="0" quotePrefix="0" xfId="0">
      <alignment horizontal="center" vertical="top" wrapText="1"/>
    </xf>
    <xf numFmtId="0" fontId="9" fillId="3" borderId="3" applyAlignment="1" pivotButton="0" quotePrefix="0" xfId="0">
      <alignment horizontal="center" vertical="top" wrapText="1"/>
    </xf>
    <xf numFmtId="0" fontId="9" fillId="3" borderId="1" applyAlignment="1" pivotButton="0" quotePrefix="0" xfId="0">
      <alignment horizontal="center" vertical="top" wrapText="1"/>
    </xf>
    <xf numFmtId="0" fontId="8" fillId="8" borderId="7" applyAlignment="1" pivotButton="0" quotePrefix="0" xfId="0">
      <alignment horizontal="center" vertical="center"/>
    </xf>
    <xf numFmtId="0" fontId="9" fillId="0" borderId="3" applyAlignment="1" pivotButton="0" quotePrefix="0" xfId="0">
      <alignment horizontal="center" vertical="top" wrapText="1"/>
    </xf>
    <xf numFmtId="0" fontId="0" fillId="0" borderId="1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1" fillId="0" borderId="1" applyAlignment="1" pivotButton="0" quotePrefix="0" xfId="0">
      <alignment horizontal="center" wrapText="1"/>
    </xf>
    <xf numFmtId="0" fontId="1" fillId="0" borderId="0" applyAlignment="1" pivotButton="0" quotePrefix="0" xfId="4">
      <alignment vertical="top" wrapText="1"/>
    </xf>
    <xf numFmtId="0" fontId="9" fillId="3" borderId="34" applyAlignment="1" pivotButton="0" quotePrefix="0" xfId="0">
      <alignment vertical="center" wrapText="1"/>
    </xf>
    <xf numFmtId="0" fontId="16" fillId="0" borderId="1" applyAlignment="1" pivotButton="0" quotePrefix="0" xfId="0">
      <alignment wrapText="1"/>
    </xf>
    <xf numFmtId="0" fontId="0" fillId="0" borderId="1" applyAlignment="1" pivotButton="0" quotePrefix="0" xfId="0">
      <alignment vertical="center" wrapText="1"/>
    </xf>
    <xf numFmtId="0" fontId="11" fillId="0" borderId="1" applyAlignment="1" pivotButton="0" quotePrefix="0" xfId="0">
      <alignment horizontal="center"/>
    </xf>
    <xf numFmtId="0" fontId="9" fillId="0" borderId="1" applyAlignment="1" pivotButton="0" quotePrefix="0" xfId="0">
      <alignment horizontal="center" vertical="center"/>
    </xf>
    <xf numFmtId="0" fontId="37" fillId="17" borderId="0" applyAlignment="1" pivotButton="0" quotePrefix="0" xfId="0">
      <alignment horizontal="center" vertical="center" wrapText="1"/>
    </xf>
    <xf numFmtId="0" fontId="9" fillId="0" borderId="34" applyAlignment="1" pivotButton="0" quotePrefix="0" xfId="0">
      <alignment horizontal="center" vertical="center" wrapText="1"/>
    </xf>
    <xf numFmtId="0" fontId="9" fillId="0" borderId="20" applyAlignment="1" pivotButton="0" quotePrefix="0" xfId="0">
      <alignment horizontal="center" vertical="center" wrapText="1"/>
    </xf>
    <xf numFmtId="0" fontId="9" fillId="12" borderId="34" applyAlignment="1" pivotButton="0" quotePrefix="0" xfId="0">
      <alignment horizontal="center" vertical="center" wrapText="1"/>
    </xf>
    <xf numFmtId="0" fontId="9" fillId="12" borderId="2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wrapText="1"/>
    </xf>
    <xf numFmtId="0" fontId="32" fillId="0" borderId="1" applyAlignment="1" pivotButton="0" quotePrefix="0" xfId="0">
      <alignment horizontal="center" vertical="center" wrapText="1"/>
    </xf>
    <xf numFmtId="0" fontId="34" fillId="0" borderId="1" applyAlignment="1" pivotButton="0" quotePrefix="0" xfId="0">
      <alignment horizontal="center" vertical="center" wrapText="1"/>
    </xf>
    <xf numFmtId="0" fontId="9" fillId="0" borderId="1" applyAlignment="1" pivotButton="0" quotePrefix="0" xfId="0">
      <alignment horizontal="center" vertical="center" wrapText="1"/>
    </xf>
    <xf numFmtId="0" fontId="9" fillId="0" borderId="47" applyAlignment="1" pivotButton="0" quotePrefix="0" xfId="0">
      <alignment horizontal="center" vertical="center" wrapText="1"/>
    </xf>
    <xf numFmtId="0" fontId="9" fillId="0" borderId="48" applyAlignment="1" pivotButton="0" quotePrefix="0" xfId="0">
      <alignment horizontal="center" vertical="center" wrapText="1"/>
    </xf>
    <xf numFmtId="0" fontId="9" fillId="0" borderId="37" applyAlignment="1" pivotButton="0" quotePrefix="0" xfId="0">
      <alignment horizontal="center" vertical="center" wrapText="1"/>
    </xf>
    <xf numFmtId="0" fontId="9" fillId="0" borderId="49" applyAlignment="1" pivotButton="0" quotePrefix="0" xfId="0">
      <alignment horizontal="center" vertical="center" wrapText="1"/>
    </xf>
    <xf numFmtId="0" fontId="12" fillId="0" borderId="1" applyAlignment="1" pivotButton="0" quotePrefix="0" xfId="0">
      <alignment horizontal="center" vertical="center" wrapText="1"/>
    </xf>
    <xf numFmtId="0" fontId="10" fillId="0" borderId="5" applyAlignment="1" pivotButton="0" quotePrefix="0" xfId="0">
      <alignment horizontal="center" vertical="center" wrapText="1"/>
    </xf>
    <xf numFmtId="0" fontId="10" fillId="0" borderId="15" applyAlignment="1" pivotButton="0" quotePrefix="0" xfId="0">
      <alignment horizontal="center"/>
    </xf>
    <xf numFmtId="0" fontId="10" fillId="0" borderId="5" applyAlignment="1" pivotButton="0" quotePrefix="0" xfId="0">
      <alignment horizontal="center"/>
    </xf>
    <xf numFmtId="0" fontId="10" fillId="0" borderId="22" applyAlignment="1" pivotButton="0" quotePrefix="0" xfId="0">
      <alignment horizontal="center"/>
    </xf>
    <xf numFmtId="0" fontId="10" fillId="0" borderId="23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4" fillId="0" borderId="6" applyAlignment="1" pivotButton="0" quotePrefix="0" xfId="0">
      <alignment horizontal="center" vertical="center" wrapText="1"/>
    </xf>
    <xf numFmtId="0" fontId="5" fillId="9" borderId="37" applyAlignment="1" pivotButton="0" quotePrefix="0" xfId="0">
      <alignment horizontal="center"/>
    </xf>
    <xf numFmtId="0" fontId="5" fillId="9" borderId="38" applyAlignment="1" pivotButton="0" quotePrefix="0" xfId="0">
      <alignment horizontal="center"/>
    </xf>
    <xf numFmtId="0" fontId="6" fillId="2" borderId="5" applyAlignment="1" pivotButton="0" quotePrefix="0" xfId="0">
      <alignment horizontal="center" vertical="top" wrapText="1"/>
    </xf>
    <xf numFmtId="0" fontId="7" fillId="0" borderId="25" applyAlignment="1" pivotButton="0" quotePrefix="0" xfId="0">
      <alignment vertical="top" wrapText="1"/>
    </xf>
    <xf numFmtId="0" fontId="7" fillId="0" borderId="26" applyAlignment="1" pivotButton="0" quotePrefix="0" xfId="0">
      <alignment vertical="top" wrapText="1"/>
    </xf>
    <xf numFmtId="0" fontId="8" fillId="0" borderId="30" applyAlignment="1" pivotButton="0" quotePrefix="0" xfId="0">
      <alignment horizontal="center" vertical="center" wrapText="1"/>
    </xf>
    <xf numFmtId="0" fontId="8" fillId="0" borderId="31" applyAlignment="1" pivotButton="0" quotePrefix="0" xfId="0">
      <alignment horizontal="center" vertical="center" wrapText="1"/>
    </xf>
    <xf numFmtId="0" fontId="13" fillId="0" borderId="15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15" fillId="3" borderId="7" applyAlignment="1" pivotButton="0" quotePrefix="0" xfId="0">
      <alignment horizontal="center" vertical="center" wrapText="1"/>
    </xf>
    <xf numFmtId="0" fontId="15" fillId="3" borderId="50" applyAlignment="1" pivotButton="0" quotePrefix="0" xfId="0">
      <alignment horizontal="center" vertical="center" wrapText="1"/>
    </xf>
    <xf numFmtId="0" fontId="15" fillId="3" borderId="14" applyAlignment="1" pivotButton="0" quotePrefix="0" xfId="0">
      <alignment horizontal="center" vertical="center" wrapText="1"/>
    </xf>
    <xf numFmtId="0" fontId="15" fillId="3" borderId="8" applyAlignment="1" pivotButton="0" quotePrefix="0" xfId="0">
      <alignment horizontal="center"/>
    </xf>
    <xf numFmtId="0" fontId="15" fillId="3" borderId="8" applyAlignment="1" pivotButton="0" quotePrefix="0" xfId="0">
      <alignment horizontal="center" vertical="center"/>
    </xf>
    <xf numFmtId="0" fontId="15" fillId="3" borderId="11" applyAlignment="1" pivotButton="0" quotePrefix="0" xfId="0">
      <alignment horizontal="center" vertical="center"/>
    </xf>
    <xf numFmtId="0" fontId="15" fillId="3" borderId="19" applyAlignment="1" pivotButton="0" quotePrefix="0" xfId="0">
      <alignment horizontal="center" vertical="center" wrapText="1"/>
    </xf>
    <xf numFmtId="0" fontId="15" fillId="3" borderId="46" applyAlignment="1" pivotButton="0" quotePrefix="0" xfId="0">
      <alignment horizontal="center" vertical="center"/>
    </xf>
    <xf numFmtId="0" fontId="15" fillId="3" borderId="19" applyAlignment="1" pivotButton="0" quotePrefix="0" xfId="0">
      <alignment horizontal="center" vertical="center"/>
    </xf>
    <xf numFmtId="0" fontId="0" fillId="0" borderId="34" applyAlignment="1" pivotButton="0" quotePrefix="0" xfId="0">
      <alignment horizontal="center" vertical="center" wrapText="1"/>
    </xf>
    <xf numFmtId="0" fontId="0" fillId="0" borderId="36" applyAlignment="1" pivotButton="0" quotePrefix="0" xfId="0">
      <alignment horizontal="center" vertical="center" wrapText="1"/>
    </xf>
    <xf numFmtId="0" fontId="0" fillId="0" borderId="20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31" fillId="17" borderId="0" applyAlignment="1" pivotButton="0" quotePrefix="0" xfId="3">
      <alignment horizontal="center"/>
    </xf>
    <xf numFmtId="0" fontId="24" fillId="12" borderId="43" applyAlignment="1" pivotButton="0" quotePrefix="0" xfId="1">
      <alignment horizontal="center" wrapText="1" readingOrder="1"/>
    </xf>
    <xf numFmtId="0" fontId="24" fillId="12" borderId="44" applyAlignment="1" pivotButton="0" quotePrefix="0" xfId="1">
      <alignment horizontal="center" wrapText="1" readingOrder="1"/>
    </xf>
    <xf numFmtId="0" fontId="24" fillId="12" borderId="45" applyAlignment="1" pivotButton="0" quotePrefix="0" xfId="1">
      <alignment horizontal="center" wrapText="1" readingOrder="1"/>
    </xf>
    <xf numFmtId="0" fontId="15" fillId="0" borderId="0" applyAlignment="1" pivotButton="0" quotePrefix="0" xfId="1">
      <alignment horizontal="center" vertical="top"/>
    </xf>
    <xf numFmtId="0" fontId="5" fillId="12" borderId="39" applyAlignment="1" pivotButton="0" quotePrefix="0" xfId="1">
      <alignment horizontal="center"/>
    </xf>
    <xf numFmtId="0" fontId="8" fillId="13" borderId="1" applyAlignment="1" pivotButton="0" quotePrefix="0" xfId="1">
      <alignment horizontal="center" vertical="center" wrapText="1"/>
    </xf>
    <xf numFmtId="0" fontId="9" fillId="13" borderId="1" applyAlignment="1" pivotButton="0" quotePrefix="0" xfId="1">
      <alignment horizontal="center" vertical="center"/>
    </xf>
    <xf numFmtId="0" fontId="9" fillId="0" borderId="6" applyAlignment="1" pivotButton="0" quotePrefix="0" xfId="1">
      <alignment horizontal="center" vertical="center"/>
    </xf>
    <xf numFmtId="0" fontId="0" fillId="0" borderId="38" pivotButton="0" quotePrefix="0" xfId="0"/>
    <xf numFmtId="0" fontId="38" fillId="20" borderId="66" applyAlignment="1" pivotButton="0" quotePrefix="0" xfId="0">
      <alignment horizontal="center" vertical="center" wrapText="1"/>
    </xf>
    <xf numFmtId="0" fontId="0" fillId="0" borderId="69" pivotButton="0" quotePrefix="0" xfId="0"/>
    <xf numFmtId="0" fontId="0" fillId="0" borderId="70" pivotButton="0" quotePrefix="0" xfId="0"/>
    <xf numFmtId="0" fontId="39" fillId="21" borderId="66" applyAlignment="1" pivotButton="0" quotePrefix="0" xfId="0">
      <alignment horizontal="center" vertical="center" wrapText="1"/>
    </xf>
    <xf numFmtId="0" fontId="40" fillId="22" borderId="66" applyAlignment="1" pivotButton="0" quotePrefix="0" xfId="0">
      <alignment horizontal="left" vertical="center" wrapText="1" indent="1"/>
    </xf>
    <xf numFmtId="0" fontId="41" fillId="23" borderId="71" applyAlignment="1" pivotButton="0" quotePrefix="0" xfId="0">
      <alignment horizontal="left" vertical="top" wrapText="1" indent="1"/>
    </xf>
    <xf numFmtId="0" fontId="42" fillId="24" borderId="71" applyAlignment="1" pivotButton="0" quotePrefix="0" xfId="0">
      <alignment horizontal="left" vertical="top" wrapText="1" indent="1"/>
    </xf>
    <xf numFmtId="0" fontId="0" fillId="0" borderId="74" pivotButton="0" quotePrefix="0" xfId="0"/>
    <xf numFmtId="0" fontId="41" fillId="25" borderId="71" applyAlignment="1" pivotButton="0" quotePrefix="0" xfId="0">
      <alignment horizontal="left" vertical="top" wrapText="1" indent="1"/>
    </xf>
    <xf numFmtId="0" fontId="41" fillId="26" borderId="71" applyAlignment="1" pivotButton="0" quotePrefix="0" xfId="0">
      <alignment horizontal="left" vertical="top" wrapText="1" indent="1"/>
    </xf>
    <xf numFmtId="0" fontId="41" fillId="27" borderId="71" applyAlignment="1" pivotButton="0" quotePrefix="0" xfId="0">
      <alignment horizontal="left" vertical="top" wrapText="1" indent="1"/>
    </xf>
    <xf numFmtId="0" fontId="43" fillId="28" borderId="71" applyAlignment="1" pivotButton="0" quotePrefix="0" xfId="0">
      <alignment horizontal="left" vertical="top" wrapText="1" indent="1"/>
    </xf>
    <xf numFmtId="0" fontId="44" fillId="20" borderId="66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17" pivotButton="0" quotePrefix="0" xfId="0"/>
    <xf numFmtId="0" fontId="0" fillId="0" borderId="47" pivotButton="0" quotePrefix="0" xfId="0"/>
    <xf numFmtId="0" fontId="0" fillId="0" borderId="36" pivotButton="0" quotePrefix="0" xfId="0"/>
    <xf numFmtId="0" fontId="0" fillId="0" borderId="52" pivotButton="0" quotePrefix="0" xfId="0"/>
    <xf numFmtId="0" fontId="0" fillId="0" borderId="6" pivotButton="0" quotePrefix="0" xfId="0"/>
    <xf numFmtId="0" fontId="0" fillId="0" borderId="48" pivotButton="0" quotePrefix="0" xfId="0"/>
    <xf numFmtId="0" fontId="9" fillId="0" borderId="38" applyAlignment="1" pivotButton="0" quotePrefix="0" xfId="0">
      <alignment horizontal="center" vertical="center" wrapText="1"/>
    </xf>
    <xf numFmtId="0" fontId="9" fillId="12" borderId="1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15" pivotButton="0" quotePrefix="0" xfId="0"/>
    <xf numFmtId="0" fontId="0" fillId="0" borderId="5" pivotButton="0" quotePrefix="0" xfId="0"/>
    <xf numFmtId="0" fontId="10" fillId="0" borderId="54" applyAlignment="1" pivotButton="0" quotePrefix="0" xfId="0">
      <alignment horizontal="center"/>
    </xf>
    <xf numFmtId="0" fontId="0" fillId="0" borderId="23" pivotButton="0" quotePrefix="0" xfId="0"/>
    <xf numFmtId="0" fontId="0" fillId="0" borderId="24" pivotButton="0" quotePrefix="0" xfId="0"/>
    <xf numFmtId="0" fontId="5" fillId="9" borderId="1" applyAlignment="1" pivotButton="0" quotePrefix="0" xfId="0">
      <alignment horizontal="center"/>
    </xf>
    <xf numFmtId="0" fontId="0" fillId="0" borderId="26" pivotButton="0" quotePrefix="0" xfId="0"/>
    <xf numFmtId="0" fontId="0" fillId="0" borderId="31" pivotButton="0" quotePrefix="0" xfId="0"/>
    <xf numFmtId="0" fontId="0" fillId="0" borderId="59" pivotButton="0" quotePrefix="0" xfId="0"/>
    <xf numFmtId="0" fontId="0" fillId="0" borderId="61" pivotButton="0" quotePrefix="0" xfId="0"/>
    <xf numFmtId="0" fontId="0" fillId="0" borderId="62" pivotButton="0" quotePrefix="0" xfId="0"/>
    <xf numFmtId="0" fontId="15" fillId="3" borderId="63" applyAlignment="1" pivotButton="0" quotePrefix="0" xfId="0">
      <alignment horizontal="center" vertical="center" wrapText="1"/>
    </xf>
    <xf numFmtId="0" fontId="15" fillId="3" borderId="63" applyAlignment="1" pivotButton="0" quotePrefix="0" xfId="0">
      <alignment horizontal="center" vertical="center"/>
    </xf>
    <xf numFmtId="0" fontId="0" fillId="0" borderId="46" pivotButton="0" quotePrefix="0" xfId="0"/>
    <xf numFmtId="0" fontId="0" fillId="0" borderId="39" pivotButton="0" quotePrefix="0" xfId="0"/>
    <xf numFmtId="0" fontId="24" fillId="12" borderId="40" applyAlignment="1" pivotButton="0" quotePrefix="0" xfId="1">
      <alignment horizontal="center" wrapText="1" readingOrder="1"/>
    </xf>
    <xf numFmtId="0" fontId="0" fillId="0" borderId="44" pivotButton="0" quotePrefix="0" xfId="0"/>
    <xf numFmtId="0" fontId="0" fillId="0" borderId="45" pivotButton="0" quotePrefix="0" xfId="0"/>
  </cellXfs>
  <cellStyles count="5">
    <cellStyle name="Normal" xfId="0" builtinId="0"/>
    <cellStyle name="Normal 2" xfId="1"/>
    <cellStyle name="Porcentual 2" xfId="2"/>
    <cellStyle name="Normal 3" xfId="3"/>
    <cellStyle name="Normal 4" xfId="4"/>
  </cellStyles>
  <dxfs count="11"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</dxf>
    <dxf>
      <font>
        <name val="Calibri"/>
        <strike val="0"/>
        <outline val="0"/>
        <shadow val="0"/>
        <condense val="0"/>
        <color theme="1"/>
        <extend val="0"/>
        <sz val="10"/>
        <vertAlign val="baseline"/>
        <scheme val="minor"/>
      </font>
      <fill>
        <patternFill>
          <fgColor indexed="64"/>
          <bgColor auto="1"/>
        </patternFill>
      </fill>
      <alignment horizontal="general" vertical="center" wrapText="1"/>
      <border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Invisible" pivot="0" table="0" count="0"/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harts/chart1.xml><?xml version="1.0" encoding="utf-8"?>
<chartSpace xmlns="http://schemas.openxmlformats.org/drawingml/2006/chart">
  <chart>
    <plotArea>
      <layout/>
      <pieChart>
        <varyColors val="1"/>
        <ser>
          <idx val="0"/>
          <order val="0"/>
          <tx>
            <strRef>
              <f>'Aceptabilidad-SinControl'!$K$7</f>
              <strCache>
                <ptCount val="1"/>
                <pt idx="0">
                  <v>%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1"/>
            <showCatName val="1"/>
            <showSerName val="0"/>
            <showPercent val="0"/>
            <showBubbleSize val="0"/>
            <showLeaderLines val="0"/>
          </dLbls>
          <cat>
            <strRef>
              <f>'Aceptabilidad-SinControl'!$J$8:$J$11</f>
              <strCache>
                <ptCount val="4"/>
                <pt idx="0">
                  <v>Aceptable</v>
                </pt>
                <pt idx="1">
                  <v>Tolerable</v>
                </pt>
                <pt idx="2">
                  <v>Inaceptable</v>
                </pt>
                <pt idx="3">
                  <v>Inadmisible</v>
                </pt>
              </strCache>
            </strRef>
          </cat>
          <val>
            <numRef>
              <f>'Aceptabilidad-SinControl'!$K$8:$K$11</f>
              <numCache>
                <formatCode>General</formatCode>
                <ptCount val="4"/>
                <pt idx="0">
                  <v>13.33333333333333</v>
                </pt>
                <pt idx="1">
                  <v>0</v>
                </pt>
                <pt idx="2">
                  <v>40</v>
                </pt>
                <pt idx="3">
                  <v>46.66666666666666</v>
                </pt>
              </numCache>
            </numRef>
          </val>
        </ser>
        <dLbls>
          <showLegendKey val="0"/>
          <showVal val="1"/>
          <showCatName val="1"/>
          <showSerName val="0"/>
          <showPercent val="0"/>
          <showBubbleSize val="0"/>
          <showLeaderLines val="0"/>
        </dLbls>
        <firstSliceAng val="0"/>
      </pieChart>
    </plotArea>
    <plotVisOnly val="1"/>
    <dispBlanksAs val="zero"/>
  </chart>
</chartSpace>
</file>

<file path=xl/charts/chart2.xml><?xml version="1.0" encoding="utf-8"?>
<chartSpace xmlns="http://schemas.openxmlformats.org/drawingml/2006/chart">
  <chart>
    <plotArea>
      <layout/>
      <pieChart>
        <varyColors val="1"/>
        <ser>
          <idx val="0"/>
          <order val="0"/>
          <tx>
            <strRef>
              <f>'Aceptabilidad-Control'!$K$7</f>
              <strCache>
                <ptCount val="1"/>
                <pt idx="0">
                  <v>%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1"/>
            <showCatName val="1"/>
            <showSerName val="0"/>
            <showPercent val="0"/>
            <showBubbleSize val="0"/>
            <showLeaderLines val="0"/>
          </dLbls>
          <cat>
            <strRef>
              <f>'Aceptabilidad-Control'!$J$8:$J$11</f>
              <strCache>
                <ptCount val="4"/>
                <pt idx="0">
                  <v>Aceptable</v>
                </pt>
                <pt idx="1">
                  <v>Tolerable</v>
                </pt>
                <pt idx="2">
                  <v>Inaceptable</v>
                </pt>
                <pt idx="3">
                  <v>Inadmisible</v>
                </pt>
              </strCache>
            </strRef>
          </cat>
          <val>
            <numRef>
              <f>'Aceptabilidad-Control'!$K$8:$K$11</f>
              <numCache>
                <formatCode>0</formatCode>
                <ptCount val="4"/>
                <pt idx="0">
                  <v>26.66666666666667</v>
                </pt>
                <pt idx="1">
                  <v>6.666666666666667</v>
                </pt>
                <pt idx="2">
                  <v>26.66666666666667</v>
                </pt>
                <pt idx="3">
                  <v>40</v>
                </pt>
              </numCache>
            </numRef>
          </val>
        </ser>
        <dLbls>
          <showLegendKey val="0"/>
          <showVal val="1"/>
          <showCatName val="1"/>
          <showSerName val="0"/>
          <showPercent val="0"/>
          <showBubbleSize val="0"/>
          <showLeaderLines val="0"/>
        </dLbls>
        <firstSliceAng val="0"/>
      </pieChart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FLIA. VARGAS VÉLEZ</author>
  </authors>
  <commentList>
    <comment ref="K2" authorId="0" shapeId="0">
      <text>
        <t xml:space="preserve">ALTO = Promedio DE 2,25 A 3
MEDIO = Promedio DE 1,5 A 2,25
BAJO = Promedio DE 1 A 1,5
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190500</colOff>
      <row>11</row>
      <rowOff>81642</rowOff>
    </from>
    <to>
      <col>14</col>
      <colOff>190500</colOff>
      <row>21</row>
      <rowOff>149678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8</col>
      <colOff>190500</colOff>
      <row>11</row>
      <rowOff>81642</rowOff>
    </from>
    <to>
      <col>14</col>
      <colOff>190500</colOff>
      <row>21</row>
      <rowOff>149678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a1" displayName="Tabla1" ref="A1:I16" headerRowCount="1" totalsRowShown="0" headerRowDxfId="10" dataDxfId="9">
  <autoFilter ref="A1:I16"/>
  <tableColumns count="9">
    <tableColumn id="1" name="NOMBRE DEL CONTROL" dataDxfId="8"/>
    <tableColumn id="9" name="TIPO DE CONTROL2" dataDxfId="7"/>
    <tableColumn id="2" name="DESCRIPCIÓN DEL CONTROL" dataDxfId="6"/>
    <tableColumn id="3" name="ESTADO DEL CONTROL" dataDxfId="5"/>
    <tableColumn id="4" name="NATURALEZA DEL CONTROL" dataDxfId="4"/>
    <tableColumn id="5" name="RESPONSABLE DEL CONTROL" dataDxfId="3"/>
    <tableColumn id="6" name="CONTROLES DISMINUYEN PROBABILIDAD" dataDxfId="2"/>
    <tableColumn id="7" name="CONTROLES DISMINUYEN IMPACTO" dataDxfId="1"/>
    <tableColumn id="8" name="SOLIDEZ DEL CONTR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2.vml" Id="anysvml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vmlDrawing" Target="/xl/drawings/vmlDrawing3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>
    <tabColor rgb="FF00B050"/>
    <outlinePr summaryBelow="1" summaryRight="1"/>
    <pageSetUpPr/>
  </sheetPr>
  <dimension ref="A2:B14"/>
  <sheetViews>
    <sheetView workbookViewId="0">
      <selection activeCell="B14" sqref="B14"/>
    </sheetView>
  </sheetViews>
  <sheetFormatPr baseColWidth="8" defaultColWidth="11.42578125" defaultRowHeight="12.75"/>
  <cols>
    <col width="19.140625" customWidth="1" min="1" max="1"/>
    <col width="36.28515625" customWidth="1" min="2" max="2"/>
  </cols>
  <sheetData>
    <row r="2">
      <c r="A2" s="117" t="inlineStr">
        <is>
          <t>Equipo No:</t>
        </is>
      </c>
      <c r="B2" s="1" t="n"/>
    </row>
    <row r="3">
      <c r="A3" s="118" t="n"/>
    </row>
    <row r="4">
      <c r="A4" s="118" t="n"/>
    </row>
    <row r="5">
      <c r="A5" s="141" t="inlineStr">
        <is>
          <t>Integrantes del equipo</t>
        </is>
      </c>
      <c r="B5" s="195" t="n"/>
    </row>
    <row r="6">
      <c r="A6" s="116" t="inlineStr">
        <is>
          <t>Nombre:</t>
        </is>
      </c>
      <c r="B6" s="1" t="n"/>
    </row>
    <row r="7">
      <c r="A7" s="116" t="inlineStr">
        <is>
          <t>Nombre:</t>
        </is>
      </c>
      <c r="B7" s="1" t="n"/>
    </row>
    <row r="8">
      <c r="A8" s="116" t="inlineStr">
        <is>
          <t>Nombre:</t>
        </is>
      </c>
      <c r="B8" s="1" t="n"/>
    </row>
    <row r="11" ht="25.5" customHeight="1">
      <c r="A11" s="142" t="inlineStr">
        <is>
          <t>NOMENCLATURA</t>
        </is>
      </c>
      <c r="B11" s="195" t="n"/>
    </row>
    <row r="12">
      <c r="A12" s="119" t="n"/>
      <c r="B12" s="106" t="inlineStr">
        <is>
          <t xml:space="preserve">Actividad No 1 </t>
        </is>
      </c>
    </row>
    <row r="13">
      <c r="A13" s="120" t="n"/>
      <c r="B13" s="106" t="inlineStr">
        <is>
          <t>Actividad No 2</t>
        </is>
      </c>
    </row>
    <row r="14">
      <c r="A14" s="121" t="n"/>
      <c r="B14" s="106" t="inlineStr">
        <is>
          <t>Actividad No 3</t>
        </is>
      </c>
    </row>
  </sheetData>
  <mergeCells count="2">
    <mergeCell ref="A11:B11"/>
    <mergeCell ref="A5:B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rgb="FF00B050"/>
    <outlinePr summaryBelow="1" summaryRight="1"/>
    <pageSetUpPr/>
  </sheetPr>
  <dimension ref="A1:C48"/>
  <sheetViews>
    <sheetView topLeftCell="A6" workbookViewId="0">
      <selection activeCell="B4" sqref="B4"/>
    </sheetView>
  </sheetViews>
  <sheetFormatPr baseColWidth="8" defaultColWidth="11.42578125" defaultRowHeight="12.75"/>
  <cols>
    <col width="30" customWidth="1" min="1" max="1"/>
    <col width="60" customWidth="1" min="2" max="2"/>
    <col width="5" customWidth="1" min="3" max="3"/>
  </cols>
  <sheetData>
    <row r="1" ht="42" customHeight="1">
      <c r="A1" s="196" t="inlineStr">
        <is>
          <t>DEFINICIÓN DE ALCANCE DEL ANÁLISIS DE RIESGOS
ISO/IEC 27005:2022 – Gestión de Riesgos de Seguridad de la Información</t>
        </is>
      </c>
      <c r="B1" s="197" t="n"/>
      <c r="C1" s="198" t="n"/>
    </row>
    <row r="2" ht="22" customHeight="1">
      <c r="A2" s="199" t="inlineStr">
        <is>
          <t>Marco de referencia: ISO/IEC 27005:2022  |  ISO/IEC 27001:2022  |  Circular Externa SFC 007/2018</t>
        </is>
      </c>
      <c r="B2" s="197" t="n"/>
      <c r="C2" s="198" t="n"/>
    </row>
    <row r="3" ht="18" customHeight="1">
      <c r="A3" s="200" t="inlineStr">
        <is>
          <t>1.  OBJETIVO Y PROPÓSITO DEL ANÁLISIS DE RIESGOS</t>
        </is>
      </c>
      <c r="B3" s="197" t="n"/>
      <c r="C3" s="198" t="n"/>
    </row>
    <row r="4" ht="55" customHeight="1">
      <c r="A4" s="201" t="inlineStr">
        <is>
          <t>Objetivo</t>
        </is>
      </c>
      <c r="B4" s="202" t="inlineStr">
        <is>
          <t>Identificar, analizar y evaluar los riesgos de seguridad de la información que afectan los activos críticos de los canales digitales del banco, con el fin de determinar tratamientos adecuados que reduzcan la probabilidad e impacto sobre la confidencialidad, integridad y disponibilidad (CID), en conformidad con la ISO/IEC 27005:2022.</t>
        </is>
      </c>
      <c r="C4" s="203" t="n"/>
    </row>
    <row r="5" ht="55" customHeight="1">
      <c r="A5" s="201" t="inlineStr">
        <is>
          <t>Propósito (ISO 27005 § 6)</t>
        </is>
      </c>
      <c r="B5" s="202" t="inlineStr">
        <is>
          <t>La cláusula 6 de la norma establece que el alcance debe delimitar el proceso de gestión de riesgos, definir el contexto externo e interno (§ 5), los criterios de riesgo y los criterios de aceptación, asegurando que todas las partes interesadas sean identificadas y consideradas.</t>
        </is>
      </c>
      <c r="C5" s="203" t="n"/>
    </row>
    <row r="6" ht="18" customHeight="1">
      <c r="A6" s="200" t="inlineStr">
        <is>
          <t>2.  CONTEXTO ORGANIZACIONAL (ISO 27005:2022 § 5)</t>
        </is>
      </c>
      <c r="B6" s="197" t="n"/>
      <c r="C6" s="198" t="n"/>
    </row>
    <row r="7" ht="40" customHeight="1">
      <c r="A7" s="201" t="inlineStr">
        <is>
          <t>Organización</t>
        </is>
      </c>
      <c r="B7" s="202" t="inlineStr">
        <is>
          <t>Entidad bancaria del sector financiero colombiano, supervisada por la Superintendencia Financiera de Colombia (SFC). Ofrece servicios de banca digital a personas naturales y jurídicas.</t>
        </is>
      </c>
      <c r="C7" s="203" t="n"/>
    </row>
    <row r="8" ht="65" customHeight="1">
      <c r="A8" s="201" t="inlineStr">
        <is>
          <t>Contexto externo</t>
        </is>
      </c>
      <c r="B8" s="202" t="inlineStr">
        <is>
          <t>• Marco regulatorio: Circular Externa SFC 007/2018, Ley 1581/2012 (habeas data), Decreto 1377/2013, Ley 1273/2009 (delitos informáticos).
• Amenazas del sector: fraude digital, ataques a APIs financieras, ransomware, ingeniería social orientada a clientes bancarios.
• Entorno tecnológico: ecosistema cloud/híbrido, pagos móviles, Open Banking.</t>
        </is>
      </c>
      <c r="C8" s="203" t="n"/>
    </row>
    <row r="9" ht="72" customHeight="1">
      <c r="A9" s="201" t="inlineStr">
        <is>
          <t>Contexto interno</t>
        </is>
      </c>
      <c r="B9" s="202" t="inlineStr">
        <is>
          <t>• Infraestructura: Datacenter principal en Medellín (Rack #10, IBM AIX), Cluster Kubernetes (DMZ/Servicios Externos), Zona segura de Identidad.
• Procesos críticos: autenticación, pagos, consultas de saldo, core bancario.
• Gobierno TI: Gerente de Tecnología, Líder de Seguridad, Arquitecto de Integración, NOC/SOC 24x7.
• Apetito de riesgo declarado: riesgos MUY ALTO no aceptables sin tratamiento.</t>
        </is>
      </c>
      <c r="C9" s="203" t="n"/>
    </row>
    <row r="10" ht="18" customHeight="1">
      <c r="A10" s="200" t="inlineStr">
        <is>
          <t>3.  DESCRIPCIÓN DEL ALCANCE (ISO 27005:2022 § 6.2)</t>
        </is>
      </c>
      <c r="B10" s="197" t="n"/>
      <c r="C10" s="198" t="n"/>
    </row>
    <row r="11" ht="45" customHeight="1">
      <c r="A11" s="201" t="inlineStr">
        <is>
          <t>Límite organizacional</t>
        </is>
      </c>
      <c r="B11" s="202" t="inlineStr">
        <is>
          <t>Área de Tecnología e Innovación Digital: equipos de Desarrollo Móvil, Canales Digitales, Identidad y Acceso, DevOps, Core Bancario, NOC/SOC y Área Comercial (en tanto propietaria de activos de información).</t>
        </is>
      </c>
      <c r="C11" s="203" t="n"/>
    </row>
    <row r="12" ht="60" customHeight="1">
      <c r="A12" s="201" t="inlineStr">
        <is>
          <t>Límite físico / geográfico</t>
        </is>
      </c>
      <c r="B12" s="202" t="inlineStr">
        <is>
          <t>• Datacenter principal Medellín – Rack #10, servidor IBM AIX1 D11.
• Zona DMZ / Cluster Kubernetes – servicios externos.
• Zona segura de servicios de identidad (Hosts: idp01, apigw01).
• Zona núcleo bancario (AIX/Unix, VIP: 172.16.30.10).</t>
        </is>
      </c>
      <c r="C12" s="203" t="n"/>
    </row>
    <row r="13" ht="60" customHeight="1">
      <c r="A13" s="201" t="inlineStr">
        <is>
          <t>Límite lógico / tecnológico</t>
        </is>
      </c>
      <c r="B13" s="202" t="inlineStr">
        <is>
          <t>• Canales: aplicación móvil (iOS/Android), portal web (app.banco.com).
• Servicios: API Gateway de pagos, servidor de autenticación IdP/OAuth2-OIDC.
• Datos: base de datos de clientes (BD_CLIENTES, host BDMEDPND 172.16.0.1).
• Plataforma core transaccional (CORE_BANCARIO).</t>
        </is>
      </c>
      <c r="C13" s="203" t="n"/>
    </row>
    <row r="14" ht="18" customHeight="1">
      <c r="A14" s="200" t="inlineStr">
        <is>
          <t>4.  ACTIVOS DE INFORMACIÓN EN ALCANCE (ISO 27005:2022 § 5.5)</t>
        </is>
      </c>
      <c r="B14" s="197" t="n"/>
      <c r="C14" s="198" t="n"/>
    </row>
    <row r="15" ht="38" customHeight="1">
      <c r="A15" s="204" t="inlineStr">
        <is>
          <t>BD_CLIENTES</t>
        </is>
      </c>
      <c r="B15" s="202" t="inlineStr">
        <is>
          <t>Base de datos de clientes con datos personales sensibles e información operativa. Valor: MUY ALTO (C: Muy alto / I: Muy alto / D: Muy alto).</t>
        </is>
      </c>
      <c r="C15" s="203" t="n"/>
    </row>
    <row r="16" ht="38" customHeight="1">
      <c r="A16" s="204" t="inlineStr">
        <is>
          <t>APP_MOVIL_CLIENTE</t>
        </is>
      </c>
      <c r="B16" s="202" t="inlineStr">
        <is>
          <t>Aplicación móvil iOS/Android – pagos, PSE, transferencias y consultas. Valor: MUY ALTO (C: Muy alto / I: Muy alto / D: Alto).</t>
        </is>
      </c>
      <c r="C16" s="203" t="n"/>
    </row>
    <row r="17" ht="38" customHeight="1">
      <c r="A17" s="204" t="inlineStr">
        <is>
          <t>API_GATEWAY_PAGOS</t>
        </is>
      </c>
      <c r="B17" s="202" t="inlineStr">
        <is>
          <t>API Gateway de orquestación de pagos y consultas del canal digital. Valor: MUY ALTO (C: Alto / I: Muy alto / D: Muy alto).</t>
        </is>
      </c>
      <c r="C17" s="203" t="n"/>
    </row>
    <row r="18" ht="38" customHeight="1">
      <c r="A18" s="204" t="inlineStr">
        <is>
          <t>SERVIDOR_AUTENTICACION</t>
        </is>
      </c>
      <c r="B18" s="202" t="inlineStr">
        <is>
          <t>Servicio IdP/OAuth2-OIDC para login y autorización de usuarios. Valor: MUY ALTO (C: Muy alto / I: Muy alto / D: Muy alto).</t>
        </is>
      </c>
      <c r="C18" s="203" t="n"/>
    </row>
    <row r="19" ht="38" customHeight="1">
      <c r="A19" s="204" t="inlineStr">
        <is>
          <t>CORE_BANCARIO</t>
        </is>
      </c>
      <c r="B19" s="202" t="inlineStr">
        <is>
          <t>Plataforma core transaccional – contabilidad y motor de negocio bancario. Valor: MUY ALTO (C: Muy alto / I: Muy alto / D: Muy alto).</t>
        </is>
      </c>
      <c r="C19" s="203" t="n"/>
    </row>
    <row r="20" ht="18" customHeight="1">
      <c r="A20" s="200" t="inlineStr">
        <is>
          <t>5.  PARTES INTERESADAS (ISO 27005:2022 § 5.4)</t>
        </is>
      </c>
      <c r="B20" s="197" t="n"/>
      <c r="C20" s="198" t="n"/>
    </row>
    <row r="21" ht="28" customHeight="1">
      <c r="A21" s="205" t="inlineStr">
        <is>
          <t>Gerente de Tecnología</t>
        </is>
      </c>
      <c r="B21" s="202" t="inlineStr">
        <is>
          <t>Propietario del proceso de gestión de riesgos TI y del activo CORE_BANCARIO.</t>
        </is>
      </c>
      <c r="C21" s="203" t="n"/>
    </row>
    <row r="22" ht="28" customHeight="1">
      <c r="A22" s="205" t="inlineStr">
        <is>
          <t>Líder de Seguridad</t>
        </is>
      </c>
      <c r="B22" s="202" t="inlineStr">
        <is>
          <t>Responsable del análisis de riesgos y de los controles de seguridad (WAF, DLP, MFA).</t>
        </is>
      </c>
      <c r="C22" s="203" t="n"/>
    </row>
    <row r="23" ht="28" customHeight="1">
      <c r="A23" s="205" t="inlineStr">
        <is>
          <t>Arquitecto de Integración</t>
        </is>
      </c>
      <c r="B23" s="202" t="inlineStr">
        <is>
          <t>Propietario técnico del activo API_GATEWAY_PAGOS.</t>
        </is>
      </c>
      <c r="C23" s="203" t="n"/>
    </row>
    <row r="24" ht="28" customHeight="1">
      <c r="A24" s="205" t="inlineStr">
        <is>
          <t>Director de Canales Digitales</t>
        </is>
      </c>
      <c r="B24" s="202" t="inlineStr">
        <is>
          <t>Propietario del activo APP_MOVIL_CLIENTE.</t>
        </is>
      </c>
      <c r="C24" s="203" t="n"/>
    </row>
    <row r="25" ht="28" customHeight="1">
      <c r="A25" s="205" t="inlineStr">
        <is>
          <t>Director Área Comercial</t>
        </is>
      </c>
      <c r="B25" s="202" t="inlineStr">
        <is>
          <t>Propietario del activo BD_CLIENTES.</t>
        </is>
      </c>
      <c r="C25" s="203" t="n"/>
    </row>
    <row r="26" ht="28" customHeight="1">
      <c r="A26" s="205" t="inlineStr">
        <is>
          <t>Administrador de Identidad</t>
        </is>
      </c>
      <c r="B26" s="202" t="inlineStr">
        <is>
          <t>Custodio del SERVIDOR_AUTENTICACION (idp01).</t>
        </is>
      </c>
      <c r="C26" s="203" t="n"/>
    </row>
    <row r="27" ht="28" customHeight="1">
      <c r="A27" s="205" t="inlineStr">
        <is>
          <t>SOC / NOC (24x7)</t>
        </is>
      </c>
      <c r="B27" s="202" t="inlineStr">
        <is>
          <t>Monitoreo, respuesta a incidentes y correlación de eventos en SIEM.</t>
        </is>
      </c>
      <c r="C27" s="203" t="n"/>
    </row>
    <row r="28" ht="28" customHeight="1">
      <c r="A28" s="205" t="inlineStr">
        <is>
          <t>Superintendencia Financiera (SFC)</t>
        </is>
      </c>
      <c r="B28" s="202" t="inlineStr">
        <is>
          <t>Ente regulador externo – Circular 007/2018 sobre riesgos de ciberseguridad.</t>
        </is>
      </c>
      <c r="C28" s="203" t="n"/>
    </row>
    <row r="29" ht="28" customHeight="1">
      <c r="A29" s="205" t="inlineStr">
        <is>
          <t>Clientes del banco</t>
        </is>
      </c>
      <c r="B29" s="202" t="inlineStr">
        <is>
          <t>Usuarios finales de los canales digitales; principales sujetos del riesgo.</t>
        </is>
      </c>
      <c r="C29" s="203" t="n"/>
    </row>
    <row r="30" ht="18" customHeight="1">
      <c r="A30" s="200" t="inlineStr">
        <is>
          <t>6.  CRITERIOS DE RIESGO Y ACEPTACIÓN (ISO 27005:2022 § 6.3)</t>
        </is>
      </c>
      <c r="B30" s="197" t="n"/>
      <c r="C30" s="198" t="n"/>
    </row>
    <row r="31" ht="52" customHeight="1">
      <c r="A31" s="201" t="inlineStr">
        <is>
          <t>Escala de probabilidad</t>
        </is>
      </c>
      <c r="B31" s="202" t="inlineStr">
        <is>
          <t>5 niveles: 1-Raro  |  2-Improbable  |  3-Posible  |  4-Probable  |  5-Casi seguro.</t>
        </is>
      </c>
      <c r="C31" s="203" t="n"/>
    </row>
    <row r="32" ht="52" customHeight="1">
      <c r="A32" s="201" t="inlineStr">
        <is>
          <t>Escala de impacto</t>
        </is>
      </c>
      <c r="B32" s="202" t="inlineStr">
        <is>
          <t>5 niveles: 1-Insignificante  |  2-Menor  |  3-Moderado  |  4-Alto  |  5-Muy alto.
Dimensiones evaluadas: Confidencialidad (C), Integridad (I), Disponibilidad (D).</t>
        </is>
      </c>
      <c r="C32" s="203" t="n"/>
    </row>
    <row r="33" ht="52" customHeight="1">
      <c r="A33" s="201" t="inlineStr">
        <is>
          <t>Nivel de riesgo</t>
        </is>
      </c>
      <c r="B33" s="202" t="inlineStr">
        <is>
          <t>Nivel = Probabilidad × Impacto. Representado en mapa de calor 5×5.
ALTO y MUY ALTO: tratamiento obligatorio e inmediato.
MODERADO: tratamiento planificado con responsable y fecha.
BAJO / MUY BAJO: aceptable con monitoreo periódico.</t>
        </is>
      </c>
      <c r="C33" s="203" t="n"/>
    </row>
    <row r="34" ht="52" customHeight="1">
      <c r="A34" s="201" t="inlineStr">
        <is>
          <t>Criterio de aceptación</t>
        </is>
      </c>
      <c r="B34" s="202" t="inlineStr">
        <is>
          <t>No se aceptan riesgos residuales con nivel ALTO o MUY ALTO sin aprobación explícita del Gerente de Tecnología y el Comité de Seguridad de la Información.</t>
        </is>
      </c>
      <c r="C34" s="203" t="n"/>
    </row>
    <row r="35" ht="52" customHeight="1">
      <c r="A35" s="201" t="inlineStr">
        <is>
          <t>Apetito de riesgo</t>
        </is>
      </c>
      <c r="B35" s="202" t="inlineStr">
        <is>
          <t>BAJO para activos críticos (BD_CLIENTES, CORE_BANCARIO, SERVIDOR_AUTENTICACION).
MODERADO para activos de canal (APP_MOVIL_CLIENTE, API_GATEWAY_PAGOS) siempre que los controles residuales sean suficientes.</t>
        </is>
      </c>
      <c r="C35" s="203" t="n"/>
    </row>
    <row r="36" ht="18" customHeight="1">
      <c r="A36" s="200" t="inlineStr">
        <is>
          <t>7.  EXCLUSIONES DEL ALCANCE (ISO 27005:2022 § 6.2)</t>
        </is>
      </c>
      <c r="B36" s="197" t="n"/>
      <c r="C36" s="198" t="n"/>
    </row>
    <row r="37" ht="32" customHeight="1">
      <c r="A37" s="206" t="inlineStr">
        <is>
          <t>Canales físicos (oficinas y ATM)</t>
        </is>
      </c>
      <c r="B37" s="207" t="inlineStr">
        <is>
          <t>Red de sucursales, cajeros ATM y corresponsales bancarios: requieren análisis independiente.</t>
        </is>
      </c>
      <c r="C37" s="203" t="n"/>
    </row>
    <row r="38" ht="32" customHeight="1">
      <c r="A38" s="206" t="inlineStr">
        <is>
          <t>Sistemas ERP / RRHH</t>
        </is>
      </c>
      <c r="B38" s="207" t="inlineStr">
        <is>
          <t>Plataformas de nómina, gestión humana y contabilidad corporativa no ligadas al canal digital.</t>
        </is>
      </c>
      <c r="C38" s="203" t="n"/>
    </row>
    <row r="39" ht="32" customHeight="1">
      <c r="A39" s="206" t="inlineStr">
        <is>
          <t>Proveedores / terceros</t>
        </is>
      </c>
      <c r="B39" s="207" t="inlineStr">
        <is>
          <t>Infraestructura y seguridad de terceros (pasarelas de pago externas, PSE) cubiertos por la gestión de proveedores.</t>
        </is>
      </c>
      <c r="C39" s="203" t="n"/>
    </row>
    <row r="40" ht="32" customHeight="1">
      <c r="A40" s="206" t="inlineStr">
        <is>
          <t>Seguridad física del DC</t>
        </is>
      </c>
      <c r="B40" s="207" t="inlineStr">
        <is>
          <t>Controles físicos del datacenter (CCTV, tarjetas de acceso) en alcance del SGSI físico independiente.</t>
        </is>
      </c>
      <c r="C40" s="203" t="n"/>
    </row>
    <row r="41" ht="32" customHeight="1">
      <c r="A41" s="206" t="inlineStr">
        <is>
          <t>Redes WAN / ISP</t>
        </is>
      </c>
      <c r="B41" s="207" t="inlineStr">
        <is>
          <t>Conectividad de última milla y SLA con operadores: gestionados por el área de Infraestructura.</t>
        </is>
      </c>
      <c r="C41" s="203" t="n"/>
    </row>
    <row r="42" ht="18" customHeight="1">
      <c r="A42" s="200" t="inlineStr">
        <is>
          <t>8.  DIAGRAMA DE ALTO NIVEL (referencia de arquitectura)</t>
        </is>
      </c>
      <c r="B42" s="197" t="n"/>
      <c r="C42" s="198" t="n"/>
    </row>
    <row r="43" ht="145" customHeight="1">
      <c r="A43" s="201" t="inlineStr">
        <is>
          <t>Flujo de componentes</t>
        </is>
      </c>
      <c r="B43" s="202" t="inlineStr">
        <is>
          <t>Internet / Clientes
        |
APP_MOVIL_CLIENTE / Portal Web (app.banco.com)
        |
[DMZ - Reverse Proxy / Balanceador]
        |
API_GATEWAY_PAGOS (apigw01 - VIP: 172.16.10.20)
       / \
SERVIDOR_AUTENTICACION         CORE_BANCARIO
(idp01 - 172.16.20.15)         (172.16.30.10)
        |
BD_CLIENTES (BDMEDPND - 172.16.0.1)
Todos los componentes se encuentran en el Datacenter principal Medellín, bajo monitoreo SOC 24x7 con SIEM, controles TLS 1.2+/HSTS, MFA, WAF (L7/OWASP) e IDS/IPS perimetral.</t>
        </is>
      </c>
      <c r="C43" s="203" t="n"/>
    </row>
    <row r="44" ht="18" customHeight="1">
      <c r="A44" s="200" t="inlineStr">
        <is>
          <t>9.  RESTRICCIONES, SUPUESTOS Y DEPENDENCIAS NORMATIVAS</t>
        </is>
      </c>
      <c r="B44" s="197" t="n"/>
      <c r="C44" s="198" t="n"/>
    </row>
    <row r="45" ht="60" customHeight="1">
      <c r="A45" s="201" t="inlineStr">
        <is>
          <t>Restricciones</t>
        </is>
      </c>
      <c r="B45" s="202" t="inlineStr">
        <is>
          <t>• El análisis se efectúa en el contexto académico del taller de especialización.
• La información de activos es representativa; valores comerciales reales son confidenciales.
• No se realizan pruebas de penetración reales en el marco de este taller.</t>
        </is>
      </c>
      <c r="C45" s="203" t="n"/>
    </row>
    <row r="46" ht="60" customHeight="1">
      <c r="A46" s="201" t="inlineStr">
        <is>
          <t>Supuestos</t>
        </is>
      </c>
      <c r="B46" s="202" t="inlineStr">
        <is>
          <t>• Los activos de la hoja "Activos" son los más críticos del banco para este análisis.
• Las amenazas del catálogo (hoja "Inventario Amenazas") cubren los vectores principales.
• Los controles de la hoja "Controles" están efectivamente implementados según su estado.</t>
        </is>
      </c>
      <c r="C46" s="203" t="n"/>
    </row>
    <row r="47" ht="60" customHeight="1">
      <c r="A47" s="201" t="inlineStr">
        <is>
          <t>Dependencias normativas</t>
        </is>
      </c>
      <c r="B47" s="202" t="inlineStr">
        <is>
          <t>• ISO/IEC 27005:2022 – Gestión de riesgos de seguridad de la información.
• ISO/IEC 27001:2022 – SGSI, cláusulas 5.3, 6.1.2, 8.2, 8.3.
• NIST SP 800-30 Rev.1 – Guía complementaria de evaluación de riesgos.
• Circular SFC 007/2018 – Riesgos de ciberseguridad en el sector financiero colombiano.</t>
        </is>
      </c>
      <c r="C47" s="203" t="n"/>
    </row>
    <row r="48" ht="16" customHeight="1">
      <c r="A48" s="208" t="inlineStr">
        <is>
          <t>Elaborado conforme a ISO/IEC 27005:2022  |  Especialización en Ciberseguridad  |  Fecha de elaboración: 03/03/2026</t>
        </is>
      </c>
      <c r="B48" s="197" t="n"/>
      <c r="C48" s="198" t="n"/>
    </row>
  </sheetData>
  <mergeCells count="49">
    <mergeCell ref="B47:C47"/>
    <mergeCell ref="B16:C16"/>
    <mergeCell ref="B7:C7"/>
    <mergeCell ref="B25:C25"/>
    <mergeCell ref="B46:C46"/>
    <mergeCell ref="B22:C22"/>
    <mergeCell ref="A3:C3"/>
    <mergeCell ref="B31:C31"/>
    <mergeCell ref="B18:C18"/>
    <mergeCell ref="B27:C27"/>
    <mergeCell ref="A2:C2"/>
    <mergeCell ref="B43:C43"/>
    <mergeCell ref="B12:C12"/>
    <mergeCell ref="B39:C39"/>
    <mergeCell ref="A42:C42"/>
    <mergeCell ref="B21:C21"/>
    <mergeCell ref="B11:C11"/>
    <mergeCell ref="A14:C14"/>
    <mergeCell ref="B23:C23"/>
    <mergeCell ref="B17:C17"/>
    <mergeCell ref="B8:C8"/>
    <mergeCell ref="A20:C20"/>
    <mergeCell ref="A10:C10"/>
    <mergeCell ref="B13:C13"/>
    <mergeCell ref="B38:C38"/>
    <mergeCell ref="A2:B2"/>
    <mergeCell ref="B29:C29"/>
    <mergeCell ref="A44:C44"/>
    <mergeCell ref="B19:C19"/>
    <mergeCell ref="B34:C34"/>
    <mergeCell ref="B37:C37"/>
    <mergeCell ref="B28:C28"/>
    <mergeCell ref="A30:C30"/>
    <mergeCell ref="B40:C40"/>
    <mergeCell ref="B9:C9"/>
    <mergeCell ref="A48:C48"/>
    <mergeCell ref="B24:C24"/>
    <mergeCell ref="A36:C36"/>
    <mergeCell ref="B15:C15"/>
    <mergeCell ref="B33:C33"/>
    <mergeCell ref="A1:C1"/>
    <mergeCell ref="B5:C5"/>
    <mergeCell ref="A6:C6"/>
    <mergeCell ref="B45:C45"/>
    <mergeCell ref="B32:C32"/>
    <mergeCell ref="B26:C26"/>
    <mergeCell ref="B41:C41"/>
    <mergeCell ref="B35:C35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1">
    <tabColor rgb="FF00B050"/>
    <outlinePr summaryBelow="1" summaryRight="1"/>
    <pageSetUpPr/>
  </sheetPr>
  <dimension ref="A1:U49"/>
  <sheetViews>
    <sheetView tabSelected="1" topLeftCell="H1" workbookViewId="0">
      <selection activeCell="U6" sqref="U6"/>
    </sheetView>
  </sheetViews>
  <sheetFormatPr baseColWidth="8" defaultColWidth="11.42578125" defaultRowHeight="12.75"/>
  <cols>
    <col width="16.140625" customWidth="1" style="135" min="1" max="1"/>
    <col width="30" customWidth="1" style="135" min="2" max="2"/>
    <col width="14.7109375" customWidth="1" style="135" min="3" max="3"/>
    <col width="15.140625" customWidth="1" style="135" min="4" max="4"/>
    <col width="11.5703125" customWidth="1" style="135" min="5" max="5"/>
    <col width="12" customWidth="1" style="135" min="6" max="6"/>
    <col width="13.7109375" customWidth="1" style="135" min="7" max="7"/>
    <col width="16.5703125" customWidth="1" style="135" min="8" max="9"/>
    <col width="17.85546875" customWidth="1" style="135" min="10" max="10"/>
    <col width="17.42578125" customWidth="1" style="135" min="11" max="11"/>
    <col width="14.140625" customWidth="1" style="135" min="12" max="12"/>
    <col width="17.7109375" customWidth="1" style="135" min="13" max="13"/>
    <col width="11.42578125" customWidth="1" style="135" min="14" max="14"/>
    <col width="48" customWidth="1" style="135" min="15" max="15"/>
    <col width="18" customWidth="1" style="135" min="16" max="16"/>
    <col width="14.5703125" customWidth="1" style="135" min="17" max="17"/>
    <col width="13.140625" customWidth="1" style="135" min="18" max="18"/>
    <col width="14.42578125" customWidth="1" style="135" min="19" max="19"/>
    <col width="15.85546875" customWidth="1" style="135" min="20" max="20"/>
    <col width="11.42578125" customWidth="1" style="135" min="21" max="16384"/>
  </cols>
  <sheetData>
    <row r="1" ht="25.5" customHeight="1">
      <c r="A1" s="138" t="inlineStr">
        <is>
          <t>ACTIVOS /RECURSOS</t>
        </is>
      </c>
      <c r="B1" s="138" t="n"/>
      <c r="C1" s="148" t="n"/>
    </row>
    <row r="2" ht="42" customHeight="1">
      <c r="A2" s="150" t="inlineStr">
        <is>
          <t>FORMATO DE INVENTARIO Y CLASIFICACIÓN DE ACTIVOS DE INFORMACIÓN</t>
        </is>
      </c>
      <c r="B2" s="209" t="n"/>
      <c r="C2" s="209" t="n"/>
      <c r="D2" s="209" t="n"/>
      <c r="E2" s="209" t="n"/>
      <c r="F2" s="209" t="n"/>
      <c r="G2" s="209" t="n"/>
      <c r="H2" s="209" t="n"/>
      <c r="I2" s="209" t="n"/>
      <c r="J2" s="209" t="n"/>
      <c r="K2" s="209" t="n"/>
      <c r="L2" s="209" t="n"/>
      <c r="M2" s="209" t="n"/>
      <c r="N2" s="195" t="n"/>
      <c r="O2" s="156" t="inlineStr">
        <is>
          <t>IDENTIFICACIÓN DE VULNERABILIDADES</t>
        </is>
      </c>
      <c r="P2" s="156" t="inlineStr">
        <is>
          <t>IDENTIFICACIÓN DE CONTROLES</t>
        </is>
      </c>
      <c r="Q2" s="210" t="n"/>
      <c r="R2" s="210" t="n"/>
      <c r="S2" s="210" t="n"/>
      <c r="T2" s="211" t="n"/>
    </row>
    <row r="3" ht="29.25" customHeight="1">
      <c r="A3" s="149" t="inlineStr">
        <is>
          <t>IDENTIFICACIÓN DE ACTIVOS DE INFORMACIÓN</t>
        </is>
      </c>
      <c r="B3" s="209" t="n"/>
      <c r="C3" s="209" t="n"/>
      <c r="D3" s="209" t="n"/>
      <c r="E3" s="209" t="n"/>
      <c r="F3" s="209" t="n"/>
      <c r="G3" s="195" t="n"/>
      <c r="H3" s="149" t="inlineStr">
        <is>
          <t>ATRIBUTOS DE LOS ACTIVOS DE INFORMACIÓN</t>
        </is>
      </c>
      <c r="I3" s="209" t="n"/>
      <c r="J3" s="195" t="n"/>
      <c r="K3" s="149" t="inlineStr">
        <is>
          <t>VALORACIÓN DE ACTIVOS DE INFORMACIÓN</t>
        </is>
      </c>
      <c r="L3" s="209" t="n"/>
      <c r="M3" s="209" t="n"/>
      <c r="N3" s="195" t="n"/>
      <c r="O3" s="212" t="n"/>
      <c r="P3" s="213" t="n"/>
      <c r="Q3" s="214" t="n"/>
      <c r="R3" s="214" t="n"/>
      <c r="S3" s="214" t="n"/>
      <c r="T3" s="215" t="n"/>
    </row>
    <row r="4" ht="27.75" customFormat="1" customHeight="1" s="105">
      <c r="A4" s="216" t="inlineStr">
        <is>
          <t>Nombre activo de información</t>
        </is>
      </c>
      <c r="B4" s="151" t="inlineStr">
        <is>
          <t>Descripción</t>
        </is>
      </c>
      <c r="C4" s="151" t="inlineStr">
        <is>
          <t>Tipo de activo de información</t>
        </is>
      </c>
      <c r="D4" s="154" t="inlineStr">
        <is>
          <t>Ubicación</t>
        </is>
      </c>
      <c r="E4" s="209" t="n"/>
      <c r="F4" s="151" t="inlineStr">
        <is>
          <t>Propietario</t>
        </is>
      </c>
      <c r="G4" s="151" t="inlineStr">
        <is>
          <t>Custodio</t>
        </is>
      </c>
      <c r="H4" s="151" t="inlineStr">
        <is>
          <t>ATRIBUTOS DE CUMPLIMIENTO</t>
        </is>
      </c>
      <c r="I4" s="209" t="n"/>
      <c r="J4" s="195" t="n"/>
      <c r="K4" s="151" t="inlineStr">
        <is>
          <t>Confidencialidad</t>
        </is>
      </c>
      <c r="L4" s="151" t="inlineStr">
        <is>
          <t>Integridad</t>
        </is>
      </c>
      <c r="M4" s="151" t="inlineStr">
        <is>
          <t>Disponibilidad</t>
        </is>
      </c>
      <c r="N4" s="217" t="inlineStr">
        <is>
          <t>Valor total del activo</t>
        </is>
      </c>
      <c r="O4" s="212" t="n"/>
      <c r="P4" s="151" t="inlineStr">
        <is>
          <t>Control 1</t>
        </is>
      </c>
      <c r="Q4" s="151" t="inlineStr">
        <is>
          <t>Control 2</t>
        </is>
      </c>
      <c r="R4" s="151" t="inlineStr">
        <is>
          <t>Control 3</t>
        </is>
      </c>
      <c r="S4" s="151" t="inlineStr">
        <is>
          <t>Control 4</t>
        </is>
      </c>
      <c r="T4" s="151" t="inlineStr">
        <is>
          <t>Control 5</t>
        </is>
      </c>
    </row>
    <row r="5" ht="25.5" customFormat="1" customHeight="1" s="105">
      <c r="A5" s="215" t="n"/>
      <c r="B5" s="218" t="n"/>
      <c r="C5" s="218" t="n"/>
      <c r="D5" s="115" t="inlineStr">
        <is>
          <t>Física</t>
        </is>
      </c>
      <c r="E5" s="115" t="inlineStr">
        <is>
          <t>Electrónica</t>
        </is>
      </c>
      <c r="F5" s="218" t="n"/>
      <c r="G5" s="218" t="n"/>
      <c r="H5" s="115" t="inlineStr">
        <is>
          <t>Información personal</t>
        </is>
      </c>
      <c r="I5" s="115" t="inlineStr">
        <is>
          <t>Información empresarial</t>
        </is>
      </c>
      <c r="J5" s="115" t="inlineStr">
        <is>
          <t>Propiedad intelectual</t>
        </is>
      </c>
      <c r="K5" s="218" t="n"/>
      <c r="L5" s="218" t="n"/>
      <c r="M5" s="218" t="n"/>
      <c r="N5" s="218" t="n"/>
      <c r="O5" s="218" t="n"/>
      <c r="P5" s="218" t="n"/>
      <c r="Q5" s="218" t="n"/>
      <c r="R5" s="218" t="n"/>
      <c r="S5" s="218" t="n"/>
      <c r="T5" s="218" t="n"/>
    </row>
    <row r="6" ht="76.5" customHeight="1">
      <c r="A6" s="139" t="inlineStr">
        <is>
          <t>BD_CLIENTES</t>
        </is>
      </c>
      <c r="B6" s="7" t="inlineStr">
        <is>
          <t>Base de datos de clientes</t>
        </is>
      </c>
      <c r="C6" s="140" t="inlineStr">
        <is>
          <t>Información</t>
        </is>
      </c>
      <c r="D6" s="7" t="inlineStr">
        <is>
          <t>Datacenter principal ubicado en Medellín
Rack#10 IBM AIX1 D11</t>
        </is>
      </c>
      <c r="E6" s="7" t="inlineStr">
        <is>
          <t>Hostname: BDMEDPND
IP: 172.16.0.1</t>
        </is>
      </c>
      <c r="F6" s="136" t="inlineStr">
        <is>
          <t>Director de area comercial</t>
        </is>
      </c>
      <c r="G6" s="136" t="inlineStr">
        <is>
          <t>Analista de datos comercial</t>
        </is>
      </c>
      <c r="H6" s="134" t="inlineStr">
        <is>
          <t>Datos personales sensibles</t>
        </is>
      </c>
      <c r="I6" s="7" t="inlineStr">
        <is>
          <t>Información operativa</t>
        </is>
      </c>
      <c r="J6" s="134" t="inlineStr">
        <is>
          <t>No aplica</t>
        </is>
      </c>
      <c r="K6" s="134" t="inlineStr">
        <is>
          <t>Muy alto</t>
        </is>
      </c>
      <c r="L6" s="134" t="inlineStr">
        <is>
          <t>Muy alto</t>
        </is>
      </c>
      <c r="M6" s="134" t="inlineStr">
        <is>
          <t>Muy alto</t>
        </is>
      </c>
      <c r="N6" s="134">
        <f>+IF(OR(K6="Muy alto",L6="Muy alto",M6="Muy alto",),"MUY ALTO",IF(OR(K6="Alto",L6="Alto",M6="Alto",),"ALTO",IF(OR(K6="Moderado",L6="Moderado",M6="Moderado",),"MODERADO",IF(OR(K6="Medio",L6="Impacto medio",M6="Grado medio",),"MEDIO",IF(OR(K6="Menor",L6="Menor",M6="Menor",),"MENOR",IF(OR(K6="Insignificante",L6="Insignificante",M6="Insignificante",),"INSIGNIFICANTE",""))))))</f>
        <v/>
      </c>
      <c r="O6" s="7" t="inlineStr">
        <is>
          <t>Inyección SQL
Falta de cifrado
Control de accesos</t>
        </is>
      </c>
      <c r="P6" s="134" t="n"/>
      <c r="Q6" s="134" t="n"/>
      <c r="R6" s="134" t="n"/>
      <c r="S6" s="134" t="n"/>
      <c r="T6" s="134" t="n"/>
      <c r="U6" s="137" t="inlineStr">
        <is>
          <t>Control D; Control K; Control J; Control E; Control H</t>
        </is>
      </c>
    </row>
    <row r="7" ht="75" customHeight="1">
      <c r="A7" s="139" t="inlineStr">
        <is>
          <t>APP_MOVIL_CLIENTE</t>
        </is>
      </c>
      <c r="B7" s="7" t="inlineStr">
        <is>
          <t>Aplicación móvil (iOS/Android): pagos, transferencias, PSE, recargas y consultas.</t>
        </is>
      </c>
      <c r="C7" s="140" t="inlineStr">
        <is>
          <t>Aplicaciones</t>
        </is>
      </c>
      <c r="D7" s="7" t="inlineStr">
        <is>
          <t>Cluster Kubernetes – DMZ/Servicios Externos</t>
        </is>
      </c>
      <c r="E7" s="7" t="inlineStr">
        <is>
          <t>Dominio: app.banco.com</t>
        </is>
      </c>
      <c r="F7" s="7" t="inlineStr">
        <is>
          <t>Director de canales digitales</t>
        </is>
      </c>
      <c r="G7" s="7" t="inlineStr">
        <is>
          <t>Líder de desarrollo móvil</t>
        </is>
      </c>
      <c r="H7" s="134" t="inlineStr">
        <is>
          <t>Datos personales de carácter general</t>
        </is>
      </c>
      <c r="I7" s="134" t="inlineStr">
        <is>
          <t>Información operativa</t>
        </is>
      </c>
      <c r="J7" s="134" t="inlineStr">
        <is>
          <t>Propiedad intelectual</t>
        </is>
      </c>
      <c r="K7" s="134" t="inlineStr">
        <is>
          <t>Muy alto</t>
        </is>
      </c>
      <c r="L7" s="134" t="inlineStr">
        <is>
          <t>Muy alto</t>
        </is>
      </c>
      <c r="M7" s="134" t="inlineStr">
        <is>
          <t>Alto</t>
        </is>
      </c>
      <c r="N7" s="134">
        <f>+IF(OR(K7="Muy alto",L7="Muy alto",M7="Muy alto",),"MUY ALTO",IF(OR(K7="Alto",L7="Alto",M7="Alto",),"ALTO",IF(OR(K7="Moderado",L7="Moderado",M7="Moderado",),"MODERADO",IF(OR(K7="Medio",L7="Impacto medio",M7="Grado medio",),"MEDIO",IF(OR(K7="Menor",L7="Menor",M7="Menor",),"MENOR",IF(OR(K7="Insignificante",L7="Insignificante",M7="Insignificante",),"INSIGNIFICANTE",""))))))</f>
        <v/>
      </c>
      <c r="O7" s="134" t="inlineStr">
        <is>
          <t>APIs inseguras (OWASP MAPI); almacenamiento inseguro; falta de pinning; dependencias vulnerables</t>
        </is>
      </c>
      <c r="P7" s="134" t="n"/>
      <c r="Q7" s="134" t="n"/>
      <c r="R7" s="134" t="n"/>
      <c r="S7" s="134" t="n"/>
      <c r="T7" s="134" t="n"/>
      <c r="U7" s="137" t="inlineStr">
        <is>
          <t>Control C; Control F; Control M; Control N; Control H</t>
        </is>
      </c>
    </row>
    <row r="8" ht="75" customHeight="1">
      <c r="A8" s="139" t="inlineStr">
        <is>
          <t>API_GATEWAY_PAGOS</t>
        </is>
      </c>
      <c r="B8" s="7" t="inlineStr">
        <is>
          <t>API Gateway para canal móvil y web: orquestación de pagos/consultas.</t>
        </is>
      </c>
      <c r="C8" s="140" t="inlineStr">
        <is>
          <t>Aplicaciones</t>
        </is>
      </c>
      <c r="D8" s="7" t="inlineStr">
        <is>
          <t>DMZ – Reverse proxy/API Gateway</t>
        </is>
      </c>
      <c r="E8" s="7" t="inlineStr">
        <is>
          <t>Host: apigw01 – VIP: 172.16.10.20</t>
        </is>
      </c>
      <c r="F8" s="7" t="inlineStr">
        <is>
          <t>Arquitecto de Integración</t>
        </is>
      </c>
      <c r="G8" s="7" t="inlineStr">
        <is>
          <t>Administrador DevOps</t>
        </is>
      </c>
      <c r="H8" s="134" t="inlineStr">
        <is>
          <t>No aplica</t>
        </is>
      </c>
      <c r="I8" s="134" t="inlineStr">
        <is>
          <t>Información operativa</t>
        </is>
      </c>
      <c r="J8" s="134" t="inlineStr">
        <is>
          <t>No aplica</t>
        </is>
      </c>
      <c r="K8" s="134" t="inlineStr">
        <is>
          <t>Alto</t>
        </is>
      </c>
      <c r="L8" s="134" t="inlineStr">
        <is>
          <t>Muy alto</t>
        </is>
      </c>
      <c r="M8" s="134" t="inlineStr">
        <is>
          <t>Muy alto</t>
        </is>
      </c>
      <c r="N8" s="134">
        <f>+IF(OR(K8="Muy alto",L8="Muy alto",M8="Muy alto",),"MUY ALTO",IF(OR(K8="Alto",L8="Alto",M8="Alto",),"ALTO",IF(OR(K8="Moderado",L8="Moderado",M8="Moderado",),"MODERADO",IF(OR(K8="Medio",L8="Impacto medio",M8="Grado medio",),"MEDIO",IF(OR(K8="Menor",L8="Menor",M8="Menor",),"MENOR",IF(OR(K8="Insignificante",L8="Insignificante",M8="Insignificante",),"INSIGNIFICANTE",""))))))</f>
        <v/>
      </c>
      <c r="O8" s="134" t="inlineStr">
        <is>
          <t>Exposición de endpoints; falta de rate limiting; autenticación débil; validación de entrada deficiente</t>
        </is>
      </c>
      <c r="P8" s="134" t="n"/>
      <c r="Q8" s="134" t="n"/>
      <c r="R8" s="134" t="n"/>
      <c r="S8" s="134" t="n"/>
      <c r="T8" s="134" t="n"/>
      <c r="U8" s="137" t="inlineStr">
        <is>
          <t>Control A; Control C; Control L; Control N; Control H</t>
        </is>
      </c>
    </row>
    <row r="9" ht="75" customHeight="1">
      <c r="A9" s="139" t="inlineStr">
        <is>
          <t>SERVIDOR_AUTENTICACION</t>
        </is>
      </c>
      <c r="B9" s="7" t="inlineStr">
        <is>
          <t>Servicio IdP/OAuth2-OIDC para login/autorización.</t>
        </is>
      </c>
      <c r="C9" s="140" t="inlineStr">
        <is>
          <t>Aplicaciones</t>
        </is>
      </c>
      <c r="D9" s="134" t="inlineStr">
        <is>
          <t>Zona segura – Servicios de Identidad</t>
        </is>
      </c>
      <c r="E9" s="134" t="inlineStr">
        <is>
          <t>Host: idp01 – VIP: 172.16.20.15</t>
        </is>
      </c>
      <c r="F9" s="134" t="inlineStr">
        <is>
          <t>Líder de Seguridad</t>
        </is>
      </c>
      <c r="G9" s="134" t="inlineStr">
        <is>
          <t>Administrador de Identidad</t>
        </is>
      </c>
      <c r="H9" s="134" t="inlineStr">
        <is>
          <t>Datos personales de carácter general</t>
        </is>
      </c>
      <c r="I9" s="134" t="inlineStr">
        <is>
          <t>Información operativa</t>
        </is>
      </c>
      <c r="J9" s="134" t="inlineStr">
        <is>
          <t>No aplica</t>
        </is>
      </c>
      <c r="K9" s="134" t="inlineStr">
        <is>
          <t>Muy alto</t>
        </is>
      </c>
      <c r="L9" s="134" t="inlineStr">
        <is>
          <t>Muy alto</t>
        </is>
      </c>
      <c r="M9" s="134" t="inlineStr">
        <is>
          <t>Muy alto</t>
        </is>
      </c>
      <c r="N9" s="134">
        <f>+IF(OR(K9="Muy alto",L9="Muy alto",M9="Muy alto",),"MUY ALTO",IF(OR(K9="Alto",L9="Alto",M9="Alto",),"ALTO",IF(OR(K9="Moderado",L9="Moderado",M9="Moderado",),"MODERADO",IF(OR(K9="Medio",L9="Impacto medio",M9="Grado medio",),"MEDIO",IF(OR(K9="Menor",L9="Menor",M9="Menor",),"MENOR",IF(OR(K9="Insignificante",L9="Insignificante",M9="Insignificante",),"INSIGNIFICANTE",""))))))</f>
        <v/>
      </c>
      <c r="O9" s="134" t="inlineStr">
        <is>
          <t>Configuración de tokens (TTL/alcances); falta de MFA/step-up; gestión de secretos</t>
        </is>
      </c>
      <c r="P9" s="134" t="n"/>
      <c r="Q9" s="134" t="n"/>
      <c r="R9" s="134" t="n"/>
      <c r="S9" s="134" t="n"/>
      <c r="T9" s="134" t="n"/>
      <c r="U9" s="137" t="inlineStr">
        <is>
          <t>Control F; Control C; Control L; Control K; Control H</t>
        </is>
      </c>
    </row>
    <row r="10" ht="75" customHeight="1">
      <c r="A10" s="139" t="inlineStr">
        <is>
          <t>CORE_BANCARIO</t>
        </is>
      </c>
      <c r="B10" s="7" t="inlineStr">
        <is>
          <t>Plataforma core de negocio para contabilidad y motor transaccional.</t>
        </is>
      </c>
      <c r="C10" s="140" t="inlineStr">
        <is>
          <t>Aplicaciones</t>
        </is>
      </c>
      <c r="D10" s="134" t="inlineStr">
        <is>
          <t>DC principal – Zona núcleo</t>
        </is>
      </c>
      <c r="E10" s="134" t="inlineStr">
        <is>
          <t>Cluster AIX/Unix – VIP: 172.16.30.10</t>
        </is>
      </c>
      <c r="F10" s="134" t="inlineStr">
        <is>
          <t>Gerente de Tecnología</t>
        </is>
      </c>
      <c r="G10" s="134" t="inlineStr">
        <is>
          <t>Equipo Core Bancario</t>
        </is>
      </c>
      <c r="H10" s="134" t="inlineStr">
        <is>
          <t>No aplica</t>
        </is>
      </c>
      <c r="I10" s="134" t="inlineStr">
        <is>
          <t>Información económica</t>
        </is>
      </c>
      <c r="J10" s="134" t="inlineStr">
        <is>
          <t>No aplica</t>
        </is>
      </c>
      <c r="K10" s="134" t="inlineStr">
        <is>
          <t>Muy alto</t>
        </is>
      </c>
      <c r="L10" s="134" t="inlineStr">
        <is>
          <t>Muy alto</t>
        </is>
      </c>
      <c r="M10" s="134" t="inlineStr">
        <is>
          <t>Muy alto</t>
        </is>
      </c>
      <c r="N10" s="134">
        <f>+IF(OR(K10="Muy alto",L10="Muy alto",M10="Muy alto",),"MUY ALTO",IF(OR(K10="Alto",L10="Alto",M10="Alto",),"ALTO",IF(OR(K10="Moderado",L10="Moderado",M10="Moderado",),"MODERADO",IF(OR(K10="Medio",L10="Impacto medio",M10="Grado medio",),"MEDIO",IF(OR(K10="Menor",L10="Menor",M10="Menor",),"MENOR",IF(OR(K10="Insignificante",L10="Insignificante",M10="Insignificante",),"INSIGNIFICANTE",""))))))</f>
        <v/>
      </c>
      <c r="O10" s="134" t="inlineStr">
        <is>
          <t>Parches diferidos; integraciones críticas; punto único de falla; saturación de recursos</t>
        </is>
      </c>
      <c r="P10" s="134" t="n"/>
      <c r="Q10" s="134" t="n"/>
      <c r="R10" s="134" t="n"/>
      <c r="S10" s="134" t="n"/>
      <c r="T10" s="134" t="n"/>
      <c r="U10" s="137" t="inlineStr">
        <is>
          <t>Control L; Control O; Control E; Control J; Control H</t>
        </is>
      </c>
    </row>
    <row r="11" ht="75" customHeight="1">
      <c r="A11" s="139" t="inlineStr">
        <is>
          <t>BD_TRANSACCIONES</t>
        </is>
      </c>
      <c r="B11" s="134" t="inlineStr">
        <is>
          <t>Base de datos de transacciones y movimientos.</t>
        </is>
      </c>
      <c r="C11" s="140" t="inlineStr">
        <is>
          <t>Información</t>
        </is>
      </c>
      <c r="D11" s="134" t="inlineStr">
        <is>
          <t>DC principal – Clúster de BD</t>
        </is>
      </c>
      <c r="E11" s="134" t="inlineStr">
        <is>
          <t>Host: dbtrx01 – VIP: 172.16.40.30</t>
        </is>
      </c>
      <c r="F11" s="134" t="inlineStr">
        <is>
          <t>Director financiero</t>
        </is>
      </c>
      <c r="G11" s="134" t="inlineStr">
        <is>
          <t>DBA Principal</t>
        </is>
      </c>
      <c r="H11" s="134" t="inlineStr">
        <is>
          <t>Información financiera de las personas Fisicas</t>
        </is>
      </c>
      <c r="I11" s="134" t="inlineStr">
        <is>
          <t>Información económica</t>
        </is>
      </c>
      <c r="J11" s="134" t="inlineStr">
        <is>
          <t>No aplica</t>
        </is>
      </c>
      <c r="K11" s="134" t="inlineStr">
        <is>
          <t>Muy alto</t>
        </is>
      </c>
      <c r="L11" s="134" t="inlineStr">
        <is>
          <t>Muy alto</t>
        </is>
      </c>
      <c r="M11" s="134" t="inlineStr">
        <is>
          <t>Muy alto</t>
        </is>
      </c>
      <c r="N11" s="134">
        <f>+IF(OR(K11="Muy alto",L11="Muy alto",M11="Muy alto",),"MUY ALTO",IF(OR(K11="Alto",L11="Alto",M11="Alto",),"ALTO",IF(OR(K11="Moderado",L11="Moderado",M11="Moderado",),"MODERADO",IF(OR(K11="Medio",L11="Impacto medio",M11="Grado medio",),"MEDIO",IF(OR(K11="Menor",L11="Menor",M11="Menor",),"MENOR",IF(OR(K11="Insignificante",L11="Insignificante",M11="Insignificante",),"INSIGNIFICANTE",""))))))</f>
        <v/>
      </c>
      <c r="O11" s="134" t="inlineStr">
        <is>
          <t>SQLi; accesos excesivos; cifrado de campos; backups no probados</t>
        </is>
      </c>
      <c r="P11" s="134" t="n"/>
      <c r="Q11" s="134" t="n"/>
      <c r="R11" s="134" t="n"/>
      <c r="S11" s="134" t="n"/>
      <c r="T11" s="134" t="n"/>
      <c r="U11" s="137" t="inlineStr">
        <is>
          <t>Control D; Control K; Control J; Control E; Control H</t>
        </is>
      </c>
    </row>
    <row r="12" ht="75" customHeight="1">
      <c r="A12" s="139" t="inlineStr">
        <is>
          <t>SERVICIO_NOTIFICACIONES</t>
        </is>
      </c>
      <c r="B12" s="134" t="inlineStr">
        <is>
          <t>Servicio de notificaciones (push/SMS/email) para OTP y avisos.</t>
        </is>
      </c>
      <c r="C12" s="140" t="inlineStr">
        <is>
          <t>Aplicaciones</t>
        </is>
      </c>
      <c r="D12" s="134" t="inlineStr">
        <is>
          <t>Servicios externos – Mensajería</t>
        </is>
      </c>
      <c r="E12" s="134" t="inlineStr">
        <is>
          <t>Host: notify01 – VIP: 172.16.50.25</t>
        </is>
      </c>
      <c r="F12" s="134" t="inlineStr">
        <is>
          <t>Product Owner Canales</t>
        </is>
      </c>
      <c r="G12" s="134" t="inlineStr">
        <is>
          <t>Administrador DevOps</t>
        </is>
      </c>
      <c r="H12" s="134" t="inlineStr">
        <is>
          <t>No aplica</t>
        </is>
      </c>
      <c r="I12" s="134" t="inlineStr">
        <is>
          <t>Información operativa</t>
        </is>
      </c>
      <c r="J12" s="134" t="inlineStr">
        <is>
          <t>No aplica</t>
        </is>
      </c>
      <c r="K12" s="134" t="inlineStr">
        <is>
          <t>Alto</t>
        </is>
      </c>
      <c r="L12" s="134" t="inlineStr">
        <is>
          <t>Alto</t>
        </is>
      </c>
      <c r="M12" s="134" t="inlineStr">
        <is>
          <t>Alto</t>
        </is>
      </c>
      <c r="N12" s="134">
        <f>+IF(OR(K12="Muy alto",L12="Muy alto",M12="Muy alto",),"MUY ALTO",IF(OR(K12="Alto",L12="Alto",M12="Alto",),"ALTO",IF(OR(K12="Moderado",L12="Moderado",M12="Moderado",),"MODERADO",IF(OR(K12="Medio",L12="Impacto medio",M12="Grado medio",),"MEDIO",IF(OR(K12="Menor",L12="Menor",M12="Menor",),"MENOR",IF(OR(K12="Insignificante",L12="Insignificante",M12="Insignificante",),"INSIGNIFICANTE",""))))))</f>
        <v/>
      </c>
      <c r="O12" s="134" t="inlineStr">
        <is>
          <t>OTP expuestos; terceros; falta de firma/cifrado de mensajes</t>
        </is>
      </c>
      <c r="P12" s="134" t="n"/>
      <c r="Q12" s="134" t="n"/>
      <c r="R12" s="134" t="n"/>
      <c r="S12" s="134" t="n"/>
      <c r="T12" s="134" t="n"/>
      <c r="U12" s="137" t="inlineStr">
        <is>
          <t>Control C; Control F; Control L; Control N; Control H</t>
        </is>
      </c>
    </row>
    <row r="13" ht="75" customHeight="1">
      <c r="A13" s="139" t="inlineStr">
        <is>
          <t>PLATAFORMA_HSM</t>
        </is>
      </c>
      <c r="B13" s="134" t="inlineStr">
        <is>
          <t>HSM para custodia de llaves y operaciones criptográficas.</t>
        </is>
      </c>
      <c r="C13" s="140" t="inlineStr">
        <is>
          <t>Infraestructura</t>
        </is>
      </c>
      <c r="D13" s="134" t="inlineStr">
        <is>
          <t>DC principal – Bóveda</t>
        </is>
      </c>
      <c r="E13" s="134" t="inlineStr">
        <is>
          <t>HSM cluster – rack seguro</t>
        </is>
      </c>
      <c r="F13" s="134" t="inlineStr">
        <is>
          <t>Líder de Seguridad</t>
        </is>
      </c>
      <c r="G13" s="134" t="inlineStr">
        <is>
          <t>Administrador Cripto</t>
        </is>
      </c>
      <c r="H13" s="134" t="inlineStr">
        <is>
          <t>No aplica</t>
        </is>
      </c>
      <c r="I13" s="134" t="inlineStr">
        <is>
          <t>Información operativa</t>
        </is>
      </c>
      <c r="J13" s="134" t="inlineStr">
        <is>
          <t>Propiedad intelectual</t>
        </is>
      </c>
      <c r="K13" s="134" t="inlineStr">
        <is>
          <t>Muy alto</t>
        </is>
      </c>
      <c r="L13" s="134" t="inlineStr">
        <is>
          <t>Muy alto</t>
        </is>
      </c>
      <c r="M13" s="134" t="inlineStr">
        <is>
          <t>Alto</t>
        </is>
      </c>
      <c r="N13" s="134">
        <f>+IF(OR(K13="Muy alto",L13="Muy alto",M13="Muy alto",),"MUY ALTO",IF(OR(K13="Alto",L13="Alto",M13="Alto",),"ALTO",IF(OR(K13="Moderado",L13="Moderado",M13="Moderado",),"MODERADO",IF(OR(K13="Medio",L13="Impacto medio",M13="Grado medio",),"MEDIO",IF(OR(K13="Menor",L13="Menor",M13="Menor",),"MENOR",IF(OR(K13="Insignificante",L13="Insignificante",M13="Insignificante",),"INSIGNIFICANTE",""))))))</f>
        <v/>
      </c>
      <c r="O13" s="134" t="inlineStr">
        <is>
          <t>Configuración por defecto; gestión de claves inadecuada; accesos físicos</t>
        </is>
      </c>
      <c r="P13" s="134" t="n"/>
      <c r="Q13" s="134" t="n"/>
      <c r="R13" s="134" t="n"/>
      <c r="S13" s="134" t="n"/>
      <c r="T13" s="134" t="n"/>
      <c r="U13" s="137" t="inlineStr">
        <is>
          <t>Control K; Control L; Control D; Control O; Control H</t>
        </is>
      </c>
    </row>
    <row r="14" ht="75" customHeight="1">
      <c r="A14" s="139" t="inlineStr">
        <is>
          <t>ALMACENAMIENTO_LOGS</t>
        </is>
      </c>
      <c r="B14" s="134" t="inlineStr">
        <is>
          <t>Lago de logs centralizados (auditoría, seguridad, trazabilidad).</t>
        </is>
      </c>
      <c r="C14" s="140" t="inlineStr">
        <is>
          <t>Información</t>
        </is>
      </c>
      <c r="D14" s="134" t="inlineStr">
        <is>
          <t>Zona de monitoreo – SIEM/Storage</t>
        </is>
      </c>
      <c r="E14" s="134" t="inlineStr">
        <is>
          <t>Host: log01 – VIP: 172.16.60.60</t>
        </is>
      </c>
      <c r="F14" s="134" t="inlineStr">
        <is>
          <t>SOC</t>
        </is>
      </c>
      <c r="G14" s="134" t="inlineStr">
        <is>
          <t>Administrador SIEM</t>
        </is>
      </c>
      <c r="H14" s="134" t="inlineStr">
        <is>
          <t>No aplica</t>
        </is>
      </c>
      <c r="I14" s="134" t="inlineStr">
        <is>
          <t>Información operativa</t>
        </is>
      </c>
      <c r="J14" s="134" t="inlineStr">
        <is>
          <t>No aplica</t>
        </is>
      </c>
      <c r="K14" s="134" t="inlineStr">
        <is>
          <t>Alto</t>
        </is>
      </c>
      <c r="L14" s="134" t="inlineStr">
        <is>
          <t>Muy alto</t>
        </is>
      </c>
      <c r="M14" s="134" t="inlineStr">
        <is>
          <t>Alto</t>
        </is>
      </c>
      <c r="N14" s="134">
        <f>+IF(OR(K14="Muy alto",L14="Muy alto",M14="Muy alto",),"MUY ALTO",IF(OR(K14="Alto",L14="Alto",M14="Alto",),"ALTO",IF(OR(K14="Moderado",L14="Moderado",M14="Moderado",),"MODERADO",IF(OR(K14="Medio",L14="Impacto medio",M14="Grado medio",),"MEDIO",IF(OR(K14="Menor",L14="Menor",M14="Menor",),"MENOR",IF(OR(K14="Insignificante",L14="Insignificante",M14="Insignificante",),"INSIGNIFICANTE",""))))))</f>
        <v/>
      </c>
      <c r="O14" s="134" t="inlineStr">
        <is>
          <t>Logs sensibles sin anonimización; retención inadecuada; acceso amplio</t>
        </is>
      </c>
      <c r="P14" s="134" t="n"/>
      <c r="Q14" s="134" t="n"/>
      <c r="R14" s="134" t="n"/>
      <c r="S14" s="134" t="n"/>
      <c r="T14" s="134" t="n"/>
      <c r="U14" s="137" t="inlineStr">
        <is>
          <t>Control H; Control D; Control L; Control I; Control J</t>
        </is>
      </c>
    </row>
    <row r="15" ht="75" customHeight="1">
      <c r="A15" s="139" t="inlineStr">
        <is>
          <t>PORTAL_ADMINISTRACION</t>
        </is>
      </c>
      <c r="B15" s="134" t="inlineStr">
        <is>
          <t>Portal administrativo interno para operaciones y soporte.</t>
        </is>
      </c>
      <c r="C15" s="140" t="inlineStr">
        <is>
          <t>Aplicaciones</t>
        </is>
      </c>
      <c r="D15" s="134" t="inlineStr">
        <is>
          <t>Intranet – Zona segura</t>
        </is>
      </c>
      <c r="E15" s="134" t="inlineStr">
        <is>
          <t>Host: admin01 – VIP: 172.16.70.70</t>
        </is>
      </c>
      <c r="F15" s="134" t="inlineStr">
        <is>
          <t>Gerente de Operaciones</t>
        </is>
      </c>
      <c r="G15" s="134" t="inlineStr">
        <is>
          <t>Equipo de Aplicaciones</t>
        </is>
      </c>
      <c r="H15" s="134" t="inlineStr">
        <is>
          <t>Datos personales de carácter general</t>
        </is>
      </c>
      <c r="I15" s="134" t="inlineStr">
        <is>
          <t>Información operativa</t>
        </is>
      </c>
      <c r="J15" s="134" t="inlineStr">
        <is>
          <t>No aplica</t>
        </is>
      </c>
      <c r="K15" s="134" t="inlineStr">
        <is>
          <t>Alto</t>
        </is>
      </c>
      <c r="L15" s="134" t="inlineStr">
        <is>
          <t>Muy alto</t>
        </is>
      </c>
      <c r="M15" s="134" t="inlineStr">
        <is>
          <t>Alto</t>
        </is>
      </c>
      <c r="N15" s="134">
        <f>+IF(OR(K15="Muy alto",L15="Muy alto",M15="Muy alto",),"MUY ALTO",IF(OR(K15="Alto",L15="Alto",M15="Alto",),"ALTO",IF(OR(K15="Moderado",L15="Moderado",M15="Moderado",),"MODERADO",IF(OR(K15="Medio",L15="Impacto medio",M15="Grado medio",),"MEDIO",IF(OR(K15="Menor",L15="Menor",M15="Menor",),"MENOR",IF(OR(K15="Insignificante",L15="Insignificante",M15="Insignificante",),"INSIGNIFICANTE",""))))))</f>
        <v/>
      </c>
      <c r="O15" s="134" t="inlineStr">
        <is>
          <t>Privilegios excesivos; falta de SoD; inyección; XSS</t>
        </is>
      </c>
      <c r="P15" s="134" t="n"/>
      <c r="Q15" s="134" t="n"/>
      <c r="R15" s="134" t="n"/>
      <c r="S15" s="134" t="n"/>
      <c r="T15" s="134" t="n"/>
      <c r="U15" s="137" t="inlineStr">
        <is>
          <t>Control F; Control B; Control C; Control L; Control E</t>
        </is>
      </c>
    </row>
    <row r="16" ht="14.25" customHeight="1">
      <c r="A16" s="139" t="inlineStr">
        <is>
          <t>Activo 11</t>
        </is>
      </c>
      <c r="B16" s="134" t="n"/>
      <c r="C16" s="140" t="n"/>
      <c r="D16" s="134" t="n"/>
      <c r="E16" s="134" t="n"/>
      <c r="F16" s="134" t="n"/>
      <c r="G16" s="134" t="n"/>
      <c r="H16" s="134" t="n"/>
      <c r="I16" s="134" t="n"/>
      <c r="J16" s="134" t="n"/>
      <c r="K16" s="134" t="n"/>
      <c r="L16" s="134" t="n"/>
      <c r="M16" s="134" t="n"/>
      <c r="N16" s="134" t="n"/>
      <c r="O16" s="134" t="n"/>
      <c r="P16" s="134" t="n"/>
      <c r="Q16" s="134" t="n"/>
      <c r="R16" s="134" t="n"/>
      <c r="S16" s="134" t="n"/>
      <c r="T16" s="134" t="n"/>
    </row>
    <row r="17" ht="14.25" customHeight="1">
      <c r="A17" s="139" t="inlineStr">
        <is>
          <t>Activo 12</t>
        </is>
      </c>
      <c r="B17" s="134" t="n"/>
      <c r="C17" s="140" t="n"/>
      <c r="D17" s="134" t="n"/>
      <c r="E17" s="134" t="n"/>
      <c r="F17" s="134" t="n"/>
      <c r="G17" s="134" t="n"/>
      <c r="H17" s="134" t="n"/>
      <c r="I17" s="134" t="n"/>
      <c r="J17" s="134" t="n"/>
      <c r="K17" s="134" t="n"/>
      <c r="L17" s="134" t="n"/>
      <c r="M17" s="134" t="n"/>
      <c r="N17" s="134" t="n"/>
      <c r="O17" s="134" t="n"/>
      <c r="P17" s="134" t="n"/>
      <c r="Q17" s="134" t="n"/>
      <c r="R17" s="134" t="n"/>
      <c r="S17" s="134" t="n"/>
      <c r="T17" s="134" t="n"/>
    </row>
    <row r="18" ht="14.25" customHeight="1">
      <c r="A18" s="139" t="inlineStr">
        <is>
          <t>Activo 13</t>
        </is>
      </c>
      <c r="B18" s="134" t="n"/>
      <c r="C18" s="140" t="n"/>
      <c r="D18" s="134" t="n"/>
      <c r="E18" s="134" t="n"/>
      <c r="F18" s="134" t="n"/>
      <c r="G18" s="134" t="n"/>
      <c r="H18" s="134" t="n"/>
      <c r="I18" s="134" t="n"/>
      <c r="J18" s="134" t="n"/>
      <c r="K18" s="134" t="n"/>
      <c r="L18" s="134" t="n"/>
      <c r="M18" s="134" t="n"/>
      <c r="N18" s="134" t="n"/>
      <c r="O18" s="134" t="n"/>
      <c r="P18" s="134" t="n"/>
      <c r="Q18" s="134" t="n"/>
      <c r="R18" s="134" t="n"/>
      <c r="S18" s="134" t="n"/>
      <c r="T18" s="134" t="n"/>
    </row>
    <row r="19" ht="14.25" customHeight="1">
      <c r="A19" s="139" t="inlineStr">
        <is>
          <t>Activo 14</t>
        </is>
      </c>
      <c r="B19" s="134" t="n"/>
      <c r="C19" s="140" t="n"/>
      <c r="D19" s="134" t="n"/>
      <c r="E19" s="134" t="n"/>
      <c r="F19" s="134" t="n"/>
      <c r="G19" s="134" t="n"/>
      <c r="H19" s="134" t="n"/>
      <c r="I19" s="134" t="n"/>
      <c r="J19" s="134" t="n"/>
      <c r="K19" s="134" t="n"/>
      <c r="L19" s="134" t="n"/>
      <c r="M19" s="134" t="n"/>
      <c r="N19" s="134" t="n"/>
      <c r="O19" s="134" t="n"/>
      <c r="P19" s="134" t="n"/>
      <c r="Q19" s="134" t="n"/>
      <c r="R19" s="134" t="n"/>
      <c r="S19" s="134" t="n"/>
      <c r="T19" s="134" t="n"/>
    </row>
    <row r="20" ht="14.25" customHeight="1">
      <c r="A20" s="139" t="inlineStr">
        <is>
          <t>Activo 15</t>
        </is>
      </c>
      <c r="B20" s="134" t="n"/>
      <c r="C20" s="140" t="n"/>
      <c r="D20" s="134" t="n"/>
      <c r="E20" s="134" t="n"/>
      <c r="F20" s="134" t="n"/>
      <c r="G20" s="134" t="n"/>
      <c r="H20" s="134" t="n"/>
      <c r="I20" s="134" t="n"/>
      <c r="J20" s="134" t="n"/>
      <c r="K20" s="134" t="n"/>
      <c r="L20" s="134" t="n"/>
      <c r="M20" s="134" t="n"/>
      <c r="N20" s="134" t="n"/>
      <c r="O20" s="134" t="n"/>
      <c r="P20" s="134" t="n"/>
      <c r="Q20" s="134" t="n"/>
      <c r="R20" s="134" t="n"/>
      <c r="S20" s="134" t="n"/>
      <c r="T20" s="134" t="n"/>
    </row>
    <row r="21" ht="14.25" customHeight="1">
      <c r="A21" s="139" t="inlineStr">
        <is>
          <t>Activo 16</t>
        </is>
      </c>
      <c r="B21" s="134" t="n"/>
      <c r="C21" s="140" t="n"/>
      <c r="D21" s="134" t="n"/>
      <c r="E21" s="134" t="n"/>
      <c r="F21" s="134" t="n"/>
      <c r="G21" s="134" t="n"/>
      <c r="H21" s="134" t="n"/>
      <c r="I21" s="134" t="n"/>
      <c r="J21" s="134" t="n"/>
      <c r="K21" s="134" t="n"/>
      <c r="L21" s="134" t="n"/>
      <c r="M21" s="134" t="n"/>
      <c r="N21" s="134" t="n"/>
      <c r="O21" s="134" t="n"/>
      <c r="P21" s="134" t="n"/>
      <c r="Q21" s="134" t="n"/>
      <c r="R21" s="134" t="n"/>
      <c r="S21" s="134" t="n"/>
      <c r="T21" s="134" t="n"/>
    </row>
    <row r="22" ht="14.25" customHeight="1">
      <c r="A22" s="139" t="inlineStr">
        <is>
          <t>Activo 17</t>
        </is>
      </c>
      <c r="B22" s="134" t="n"/>
      <c r="C22" s="140" t="n"/>
      <c r="D22" s="134" t="n"/>
      <c r="E22" s="134" t="n"/>
      <c r="F22" s="134" t="n"/>
      <c r="G22" s="134" t="n"/>
      <c r="H22" s="134" t="n"/>
      <c r="I22" s="134" t="n"/>
      <c r="J22" s="134" t="n"/>
      <c r="K22" s="134" t="n"/>
      <c r="L22" s="134" t="n"/>
      <c r="M22" s="134" t="n"/>
      <c r="N22" s="134" t="n"/>
      <c r="O22" s="134" t="n"/>
      <c r="P22" s="134" t="n"/>
      <c r="Q22" s="134" t="n"/>
      <c r="R22" s="134" t="n"/>
      <c r="S22" s="134" t="n"/>
      <c r="T22" s="134" t="n"/>
    </row>
    <row r="23" ht="14.25" customHeight="1">
      <c r="A23" s="139" t="inlineStr">
        <is>
          <t>Activo 18</t>
        </is>
      </c>
      <c r="B23" s="134" t="n"/>
      <c r="C23" s="140" t="n"/>
      <c r="D23" s="134" t="n"/>
      <c r="E23" s="134" t="n"/>
      <c r="F23" s="134" t="n"/>
      <c r="G23" s="134" t="n"/>
      <c r="H23" s="134" t="n"/>
      <c r="I23" s="134" t="n"/>
      <c r="J23" s="134" t="n"/>
      <c r="K23" s="134" t="n"/>
      <c r="L23" s="134" t="n"/>
      <c r="M23" s="134" t="n"/>
      <c r="N23" s="134" t="n"/>
      <c r="O23" s="134" t="n"/>
      <c r="P23" s="134" t="n"/>
      <c r="Q23" s="134" t="n"/>
      <c r="R23" s="134" t="n"/>
      <c r="S23" s="134" t="n"/>
      <c r="T23" s="134" t="n"/>
    </row>
    <row r="24" ht="14.25" customHeight="1">
      <c r="A24" s="139" t="inlineStr">
        <is>
          <t>Activo 19</t>
        </is>
      </c>
      <c r="B24" s="134" t="n"/>
      <c r="C24" s="140" t="n"/>
      <c r="D24" s="134" t="n"/>
      <c r="E24" s="134" t="n"/>
      <c r="F24" s="134" t="n"/>
      <c r="G24" s="134" t="n"/>
      <c r="H24" s="134" t="n"/>
      <c r="I24" s="134" t="n"/>
      <c r="J24" s="134" t="n"/>
      <c r="K24" s="134" t="n"/>
      <c r="L24" s="134" t="n"/>
      <c r="M24" s="134" t="n"/>
      <c r="N24" s="134" t="n"/>
      <c r="O24" s="134" t="n"/>
      <c r="P24" s="134" t="n"/>
      <c r="Q24" s="134" t="n"/>
      <c r="R24" s="134" t="n"/>
      <c r="S24" s="134" t="n"/>
      <c r="T24" s="134" t="n"/>
    </row>
    <row r="25" ht="14.25" customHeight="1">
      <c r="A25" s="139" t="inlineStr">
        <is>
          <t>Activo 20</t>
        </is>
      </c>
      <c r="B25" s="134" t="n"/>
      <c r="C25" s="140" t="n"/>
      <c r="D25" s="134" t="n"/>
      <c r="E25" s="134" t="n"/>
      <c r="F25" s="134" t="n"/>
      <c r="G25" s="134" t="n"/>
      <c r="H25" s="134" t="n"/>
      <c r="I25" s="134" t="n"/>
      <c r="J25" s="134" t="n"/>
      <c r="K25" s="134" t="n"/>
      <c r="L25" s="134" t="n"/>
      <c r="M25" s="134" t="n"/>
      <c r="N25" s="134" t="n"/>
      <c r="O25" s="134" t="n"/>
      <c r="P25" s="134" t="n"/>
      <c r="Q25" s="134" t="n"/>
      <c r="R25" s="134" t="n"/>
      <c r="S25" s="134" t="n"/>
      <c r="T25" s="134" t="n"/>
    </row>
    <row r="26" ht="14.25" customHeight="1">
      <c r="A26" s="139" t="inlineStr">
        <is>
          <t>Activo 21</t>
        </is>
      </c>
      <c r="B26" s="134" t="n"/>
      <c r="C26" s="140" t="n"/>
      <c r="D26" s="134" t="n"/>
      <c r="E26" s="134" t="n"/>
      <c r="F26" s="134" t="n"/>
      <c r="G26" s="134" t="n"/>
      <c r="H26" s="134" t="n"/>
      <c r="I26" s="134" t="n"/>
      <c r="J26" s="134" t="n"/>
      <c r="K26" s="134" t="n"/>
      <c r="L26" s="134" t="n"/>
      <c r="M26" s="134" t="n"/>
      <c r="N26" s="134" t="n"/>
      <c r="O26" s="134" t="n"/>
      <c r="P26" s="134" t="n"/>
      <c r="Q26" s="134" t="n"/>
      <c r="R26" s="134" t="n"/>
      <c r="S26" s="134" t="n"/>
      <c r="T26" s="134" t="n"/>
    </row>
    <row r="27" ht="14.25" customHeight="1">
      <c r="A27" s="139" t="inlineStr">
        <is>
          <t>Activo 22</t>
        </is>
      </c>
      <c r="B27" s="134" t="n"/>
      <c r="C27" s="140" t="n"/>
      <c r="D27" s="134" t="n"/>
      <c r="E27" s="134" t="n"/>
      <c r="F27" s="134" t="n"/>
      <c r="G27" s="134" t="n"/>
      <c r="H27" s="134" t="n"/>
      <c r="I27" s="134" t="n"/>
      <c r="J27" s="134" t="n"/>
      <c r="K27" s="134" t="n"/>
      <c r="L27" s="134" t="n"/>
      <c r="M27" s="134" t="n"/>
      <c r="N27" s="134" t="n"/>
      <c r="O27" s="134" t="n"/>
      <c r="P27" s="134" t="n"/>
      <c r="Q27" s="134" t="n"/>
      <c r="R27" s="134" t="n"/>
      <c r="S27" s="134" t="n"/>
      <c r="T27" s="134" t="n"/>
    </row>
    <row r="28" ht="14.25" customHeight="1">
      <c r="A28" s="139" t="inlineStr">
        <is>
          <t>Activo 23</t>
        </is>
      </c>
      <c r="B28" s="134" t="n"/>
      <c r="C28" s="140" t="n"/>
      <c r="D28" s="134" t="n"/>
      <c r="E28" s="134" t="n"/>
      <c r="F28" s="134" t="n"/>
      <c r="G28" s="134" t="n"/>
      <c r="H28" s="134" t="n"/>
      <c r="I28" s="134" t="n"/>
      <c r="J28" s="134" t="n"/>
      <c r="K28" s="134" t="n"/>
      <c r="L28" s="134" t="n"/>
      <c r="M28" s="134" t="n"/>
      <c r="N28" s="134" t="n"/>
      <c r="O28" s="134" t="n"/>
      <c r="P28" s="134" t="n"/>
      <c r="Q28" s="134" t="n"/>
      <c r="R28" s="134" t="n"/>
      <c r="S28" s="134" t="n"/>
      <c r="T28" s="134" t="n"/>
    </row>
    <row r="29" ht="14.25" customHeight="1">
      <c r="A29" s="139" t="inlineStr">
        <is>
          <t>Activo 24</t>
        </is>
      </c>
      <c r="B29" s="134" t="n"/>
      <c r="C29" s="140" t="n"/>
      <c r="D29" s="134" t="n"/>
      <c r="E29" s="134" t="n"/>
      <c r="F29" s="134" t="n"/>
      <c r="G29" s="134" t="n"/>
      <c r="H29" s="134" t="n"/>
      <c r="I29" s="134" t="n"/>
      <c r="J29" s="134" t="n"/>
      <c r="K29" s="134" t="n"/>
      <c r="L29" s="134" t="n"/>
      <c r="M29" s="134" t="n"/>
      <c r="N29" s="134" t="n"/>
      <c r="O29" s="134" t="n"/>
      <c r="P29" s="134" t="n"/>
      <c r="Q29" s="134" t="n"/>
      <c r="R29" s="134" t="n"/>
      <c r="S29" s="134" t="n"/>
      <c r="T29" s="134" t="n"/>
    </row>
    <row r="30" ht="14.25" customHeight="1">
      <c r="A30" s="139" t="inlineStr">
        <is>
          <t>Activo 25</t>
        </is>
      </c>
      <c r="B30" s="134" t="n"/>
      <c r="C30" s="140" t="n"/>
      <c r="D30" s="134" t="n"/>
      <c r="E30" s="134" t="n"/>
      <c r="F30" s="134" t="n"/>
      <c r="G30" s="134" t="n"/>
      <c r="H30" s="134" t="n"/>
      <c r="I30" s="134" t="n"/>
      <c r="J30" s="134" t="n"/>
      <c r="K30" s="134" t="n"/>
      <c r="L30" s="134" t="n"/>
      <c r="M30" s="134" t="n"/>
      <c r="N30" s="134" t="n"/>
      <c r="O30" s="134" t="n"/>
      <c r="P30" s="134" t="n"/>
      <c r="Q30" s="134" t="n"/>
      <c r="R30" s="134" t="n"/>
      <c r="S30" s="134" t="n"/>
      <c r="T30" s="134" t="n"/>
    </row>
    <row r="31" ht="14.25" customHeight="1">
      <c r="A31" s="139" t="inlineStr">
        <is>
          <t>Activo 26</t>
        </is>
      </c>
      <c r="B31" s="134" t="n"/>
      <c r="C31" s="140" t="n"/>
      <c r="D31" s="134" t="n"/>
      <c r="E31" s="134" t="n"/>
      <c r="F31" s="134" t="n"/>
      <c r="G31" s="134" t="n"/>
      <c r="H31" s="134" t="n"/>
      <c r="I31" s="134" t="n"/>
      <c r="J31" s="134" t="n"/>
      <c r="K31" s="134" t="n"/>
      <c r="L31" s="134" t="n"/>
      <c r="M31" s="134" t="n"/>
      <c r="N31" s="134" t="n"/>
      <c r="O31" s="134" t="n"/>
      <c r="P31" s="134" t="n"/>
      <c r="Q31" s="134" t="n"/>
      <c r="R31" s="134" t="n"/>
      <c r="S31" s="134" t="n"/>
      <c r="T31" s="134" t="n"/>
    </row>
    <row r="32" ht="14.25" customHeight="1">
      <c r="A32" s="139" t="inlineStr">
        <is>
          <t>Activo 27</t>
        </is>
      </c>
      <c r="B32" s="134" t="n"/>
      <c r="C32" s="140" t="n"/>
      <c r="D32" s="134" t="n"/>
      <c r="E32" s="134" t="n"/>
      <c r="F32" s="134" t="n"/>
      <c r="G32" s="134" t="n"/>
      <c r="H32" s="134" t="n"/>
      <c r="I32" s="134" t="n"/>
      <c r="J32" s="134" t="n"/>
      <c r="K32" s="134" t="n"/>
      <c r="L32" s="134" t="n"/>
      <c r="M32" s="134" t="n"/>
      <c r="N32" s="134" t="n"/>
      <c r="O32" s="134" t="n"/>
      <c r="P32" s="134" t="n"/>
      <c r="Q32" s="134" t="n"/>
      <c r="R32" s="134" t="n"/>
      <c r="S32" s="134" t="n"/>
      <c r="T32" s="134" t="n"/>
    </row>
    <row r="33" ht="14.25" customHeight="1">
      <c r="A33" s="139" t="inlineStr">
        <is>
          <t>Activo 28</t>
        </is>
      </c>
      <c r="B33" s="134" t="n"/>
      <c r="C33" s="140" t="n"/>
      <c r="D33" s="134" t="n"/>
      <c r="E33" s="134" t="n"/>
      <c r="F33" s="134" t="n"/>
      <c r="G33" s="134" t="n"/>
      <c r="H33" s="134" t="n"/>
      <c r="I33" s="134" t="n"/>
      <c r="J33" s="134" t="n"/>
      <c r="K33" s="134" t="n"/>
      <c r="L33" s="134" t="n"/>
      <c r="M33" s="134" t="n"/>
      <c r="N33" s="134" t="n"/>
      <c r="O33" s="134" t="n"/>
      <c r="P33" s="134" t="n"/>
      <c r="Q33" s="134" t="n"/>
      <c r="R33" s="134" t="n"/>
      <c r="S33" s="134" t="n"/>
      <c r="T33" s="134" t="n"/>
    </row>
    <row r="34" ht="14.25" customHeight="1">
      <c r="A34" s="139" t="inlineStr">
        <is>
          <t>Activo 29</t>
        </is>
      </c>
      <c r="B34" s="134" t="n"/>
      <c r="C34" s="140" t="n"/>
      <c r="D34" s="134" t="n"/>
      <c r="E34" s="134" t="n"/>
      <c r="F34" s="134" t="n"/>
      <c r="G34" s="134" t="n"/>
      <c r="H34" s="134" t="n"/>
      <c r="I34" s="134" t="n"/>
      <c r="J34" s="134" t="n"/>
      <c r="K34" s="134" t="n"/>
      <c r="L34" s="134" t="n"/>
      <c r="M34" s="134" t="n"/>
      <c r="N34" s="134" t="n"/>
      <c r="O34" s="134" t="n"/>
      <c r="P34" s="134" t="n"/>
      <c r="Q34" s="134" t="n"/>
      <c r="R34" s="134" t="n"/>
      <c r="S34" s="134" t="n"/>
      <c r="T34" s="134" t="n"/>
    </row>
    <row r="35" ht="14.25" customHeight="1">
      <c r="A35" s="139" t="n"/>
      <c r="B35" s="134" t="n"/>
      <c r="C35" s="140" t="n"/>
      <c r="D35" s="134" t="n"/>
      <c r="E35" s="134" t="n"/>
      <c r="F35" s="134" t="n"/>
      <c r="G35" s="134" t="n"/>
      <c r="H35" s="134" t="n"/>
      <c r="I35" s="134" t="n"/>
      <c r="J35" s="134" t="n"/>
      <c r="K35" s="134" t="n"/>
      <c r="L35" s="134" t="n"/>
      <c r="M35" s="134" t="n"/>
      <c r="N35" s="134" t="n"/>
      <c r="O35" s="134" t="n"/>
      <c r="P35" s="134" t="n"/>
      <c r="Q35" s="134" t="n"/>
      <c r="R35" s="134" t="n"/>
      <c r="S35" s="134" t="n"/>
      <c r="T35" s="134" t="n"/>
    </row>
    <row r="36" ht="14.25" customHeight="1">
      <c r="A36" s="134" t="n"/>
      <c r="B36" s="139" t="n"/>
      <c r="C36" s="140" t="n"/>
      <c r="D36" s="134" t="n"/>
      <c r="E36" s="134" t="n"/>
      <c r="F36" s="134" t="n"/>
      <c r="G36" s="134" t="n"/>
      <c r="H36" s="134" t="n"/>
      <c r="I36" s="134" t="n"/>
      <c r="J36" s="134" t="n"/>
      <c r="K36" s="134" t="n"/>
      <c r="L36" s="134" t="n"/>
      <c r="M36" s="134" t="n"/>
      <c r="N36" s="134" t="n"/>
      <c r="O36" s="134" t="n"/>
      <c r="P36" s="134" t="n"/>
      <c r="Q36" s="134" t="n"/>
      <c r="R36" s="134" t="n"/>
      <c r="S36" s="134" t="n"/>
      <c r="T36" s="134" t="n"/>
    </row>
    <row r="37" ht="14.25" customHeight="1">
      <c r="A37" s="134" t="n"/>
      <c r="B37" s="139" t="n"/>
      <c r="C37" s="140" t="n"/>
      <c r="D37" s="134" t="n"/>
      <c r="E37" s="134" t="n"/>
      <c r="F37" s="134" t="n"/>
      <c r="G37" s="134" t="n"/>
      <c r="H37" s="134" t="n"/>
      <c r="I37" s="134" t="n"/>
      <c r="J37" s="134" t="n"/>
      <c r="K37" s="134" t="n"/>
      <c r="L37" s="134" t="n"/>
      <c r="M37" s="134" t="n"/>
      <c r="N37" s="134" t="n"/>
      <c r="O37" s="134" t="n"/>
      <c r="P37" s="134" t="n"/>
      <c r="Q37" s="134" t="n"/>
      <c r="R37" s="134" t="n"/>
      <c r="S37" s="134" t="n"/>
      <c r="T37" s="134" t="n"/>
    </row>
    <row r="38" ht="14.25" customHeight="1">
      <c r="A38" s="134" t="n"/>
      <c r="B38" s="139" t="n"/>
      <c r="C38" s="140" t="n"/>
      <c r="D38" s="134" t="n"/>
      <c r="E38" s="134" t="n"/>
      <c r="F38" s="134" t="n"/>
      <c r="G38" s="134" t="n"/>
      <c r="H38" s="134" t="n"/>
      <c r="I38" s="134" t="n"/>
      <c r="J38" s="134" t="n"/>
      <c r="K38" s="134" t="n"/>
      <c r="L38" s="134" t="n"/>
      <c r="M38" s="134" t="n"/>
      <c r="N38" s="134" t="n"/>
      <c r="O38" s="134" t="n"/>
      <c r="P38" s="134" t="n"/>
      <c r="Q38" s="134" t="n"/>
      <c r="R38" s="134" t="n"/>
      <c r="S38" s="134" t="n"/>
      <c r="T38" s="134" t="n"/>
    </row>
    <row r="39" ht="14.25" customHeight="1">
      <c r="A39" s="134" t="n"/>
      <c r="B39" s="139" t="n"/>
      <c r="C39" s="140" t="n"/>
      <c r="D39" s="134" t="n"/>
      <c r="E39" s="134" t="n"/>
      <c r="F39" s="134" t="n"/>
      <c r="G39" s="134" t="n"/>
      <c r="H39" s="134" t="n"/>
      <c r="I39" s="134" t="n"/>
      <c r="J39" s="134" t="n"/>
      <c r="K39" s="134" t="n"/>
      <c r="L39" s="134" t="n"/>
      <c r="M39" s="134" t="n"/>
      <c r="N39" s="134" t="n"/>
      <c r="O39" s="134" t="n"/>
      <c r="P39" s="134" t="n"/>
      <c r="Q39" s="134" t="n"/>
      <c r="R39" s="134" t="n"/>
      <c r="S39" s="134" t="n"/>
      <c r="T39" s="134" t="n"/>
    </row>
    <row r="40" ht="14.25" customHeight="1">
      <c r="A40" s="134" t="n"/>
      <c r="B40" s="139" t="n"/>
      <c r="C40" s="140" t="n"/>
      <c r="D40" s="134" t="n"/>
      <c r="E40" s="134" t="n"/>
      <c r="F40" s="134" t="n"/>
      <c r="G40" s="134" t="n"/>
      <c r="H40" s="134" t="n"/>
      <c r="I40" s="134" t="n"/>
      <c r="J40" s="134" t="n"/>
      <c r="K40" s="134" t="n"/>
      <c r="L40" s="134" t="n"/>
      <c r="M40" s="134" t="n"/>
      <c r="N40" s="134" t="n"/>
      <c r="O40" s="134" t="n"/>
      <c r="P40" s="134" t="n"/>
      <c r="Q40" s="134" t="n"/>
      <c r="R40" s="134" t="n"/>
      <c r="S40" s="134" t="n"/>
      <c r="T40" s="134" t="n"/>
    </row>
    <row r="41" ht="14.25" customHeight="1">
      <c r="A41" s="134" t="n"/>
      <c r="B41" s="139" t="n"/>
      <c r="C41" s="140" t="n"/>
      <c r="D41" s="134" t="n"/>
      <c r="E41" s="134" t="n"/>
      <c r="F41" s="134" t="n"/>
      <c r="G41" s="134" t="n"/>
      <c r="H41" s="134" t="n"/>
      <c r="I41" s="134" t="n"/>
      <c r="J41" s="134" t="n"/>
      <c r="K41" s="134" t="n"/>
      <c r="L41" s="134" t="n"/>
      <c r="M41" s="134" t="n"/>
      <c r="N41" s="134" t="n"/>
      <c r="O41" s="134" t="n"/>
      <c r="P41" s="134" t="n"/>
      <c r="Q41" s="134" t="n"/>
      <c r="R41" s="134" t="n"/>
      <c r="S41" s="134" t="n"/>
      <c r="T41" s="134" t="n"/>
    </row>
    <row r="42" ht="14.25" customHeight="1">
      <c r="A42" s="134" t="n"/>
      <c r="B42" s="139" t="n"/>
      <c r="C42" s="140" t="n"/>
      <c r="D42" s="134" t="n"/>
      <c r="E42" s="134" t="n"/>
      <c r="F42" s="134" t="n"/>
      <c r="G42" s="134" t="n"/>
      <c r="H42" s="134" t="n"/>
      <c r="I42" s="134" t="n"/>
      <c r="J42" s="134" t="n"/>
      <c r="K42" s="134" t="n"/>
      <c r="L42" s="134" t="n"/>
      <c r="M42" s="134" t="n"/>
      <c r="N42" s="134" t="n"/>
      <c r="O42" s="134" t="n"/>
      <c r="P42" s="134" t="n"/>
      <c r="Q42" s="134" t="n"/>
      <c r="R42" s="134" t="n"/>
      <c r="S42" s="134" t="n"/>
      <c r="T42" s="134" t="n"/>
    </row>
    <row r="43" ht="14.25" customHeight="1">
      <c r="A43" s="134" t="n"/>
      <c r="B43" s="139" t="n"/>
      <c r="C43" s="140" t="n"/>
      <c r="D43" s="134" t="n"/>
      <c r="E43" s="134" t="n"/>
      <c r="F43" s="134" t="n"/>
      <c r="G43" s="134" t="n"/>
      <c r="H43" s="134" t="n"/>
      <c r="I43" s="134" t="n"/>
      <c r="J43" s="134" t="n"/>
      <c r="K43" s="134" t="n"/>
      <c r="L43" s="134" t="n"/>
      <c r="M43" s="134" t="n"/>
      <c r="N43" s="134" t="n"/>
      <c r="O43" s="134" t="n"/>
      <c r="P43" s="134" t="n"/>
      <c r="Q43" s="134" t="n"/>
      <c r="R43" s="134" t="n"/>
      <c r="S43" s="134" t="n"/>
      <c r="T43" s="134" t="n"/>
    </row>
    <row r="44" ht="14.25" customHeight="1">
      <c r="A44" s="134" t="n"/>
      <c r="B44" s="139" t="n"/>
      <c r="C44" s="140" t="n"/>
      <c r="D44" s="134" t="n"/>
      <c r="E44" s="134" t="n"/>
      <c r="F44" s="134" t="n"/>
      <c r="G44" s="134" t="n"/>
      <c r="H44" s="134" t="n"/>
      <c r="I44" s="134" t="n"/>
      <c r="J44" s="134" t="n"/>
      <c r="K44" s="134" t="n"/>
      <c r="L44" s="134" t="n"/>
      <c r="M44" s="134" t="n"/>
      <c r="N44" s="134" t="n"/>
      <c r="O44" s="134" t="n"/>
      <c r="P44" s="134" t="n"/>
      <c r="Q44" s="134" t="n"/>
      <c r="R44" s="134" t="n"/>
      <c r="S44" s="134" t="n"/>
      <c r="T44" s="134" t="n"/>
    </row>
    <row r="45" ht="14.25" customHeight="1">
      <c r="A45" s="134" t="n"/>
      <c r="B45" s="139" t="n"/>
      <c r="C45" s="140" t="n"/>
      <c r="D45" s="134" t="n"/>
      <c r="E45" s="134" t="n"/>
      <c r="F45" s="134" t="n"/>
      <c r="G45" s="134" t="n"/>
      <c r="H45" s="134" t="n"/>
      <c r="I45" s="134" t="n"/>
      <c r="J45" s="134" t="n"/>
      <c r="K45" s="134" t="n"/>
      <c r="L45" s="134" t="n"/>
      <c r="M45" s="134" t="n"/>
      <c r="N45" s="134" t="n"/>
      <c r="O45" s="134" t="n"/>
      <c r="P45" s="134" t="n"/>
      <c r="Q45" s="134" t="n"/>
      <c r="R45" s="134" t="n"/>
      <c r="S45" s="134" t="n"/>
      <c r="T45" s="134" t="n"/>
    </row>
    <row r="46" ht="14.25" customHeight="1">
      <c r="A46" s="134" t="n"/>
      <c r="B46" s="139" t="n"/>
      <c r="C46" s="140" t="n"/>
      <c r="D46" s="134" t="n"/>
      <c r="E46" s="134" t="n"/>
      <c r="F46" s="134" t="n"/>
      <c r="G46" s="134" t="n"/>
      <c r="H46" s="134" t="n"/>
      <c r="I46" s="134" t="n"/>
      <c r="J46" s="134" t="n"/>
      <c r="K46" s="134" t="n"/>
      <c r="L46" s="134" t="n"/>
      <c r="M46" s="134" t="n"/>
      <c r="N46" s="134" t="n"/>
      <c r="O46" s="134" t="n"/>
      <c r="P46" s="134" t="n"/>
      <c r="Q46" s="134" t="n"/>
      <c r="R46" s="134" t="n"/>
      <c r="S46" s="134" t="n"/>
      <c r="T46" s="134" t="n"/>
    </row>
    <row r="47" ht="14.25" customHeight="1">
      <c r="A47" s="134" t="n"/>
      <c r="B47" s="139" t="n"/>
      <c r="C47" s="140" t="n"/>
      <c r="D47" s="134" t="n"/>
      <c r="E47" s="134" t="n"/>
      <c r="F47" s="134" t="n"/>
      <c r="G47" s="134" t="n"/>
      <c r="H47" s="134" t="n"/>
      <c r="I47" s="134" t="n"/>
      <c r="J47" s="134" t="n"/>
      <c r="K47" s="134" t="n"/>
      <c r="L47" s="134" t="n"/>
      <c r="M47" s="134" t="n"/>
      <c r="N47" s="134" t="n"/>
      <c r="O47" s="134" t="n"/>
      <c r="P47" s="134" t="n"/>
      <c r="Q47" s="134" t="n"/>
      <c r="R47" s="134" t="n"/>
      <c r="S47" s="134" t="n"/>
      <c r="T47" s="134" t="n"/>
    </row>
    <row r="48" ht="14.25" customHeight="1">
      <c r="A48" s="134" t="n"/>
      <c r="B48" s="139" t="n"/>
      <c r="C48" s="140" t="n"/>
      <c r="D48" s="134" t="n"/>
      <c r="E48" s="134" t="n"/>
      <c r="F48" s="134" t="n"/>
      <c r="G48" s="134" t="n"/>
      <c r="H48" s="134" t="n"/>
      <c r="I48" s="134" t="n"/>
      <c r="J48" s="134" t="n"/>
      <c r="K48" s="134" t="n"/>
      <c r="L48" s="134" t="n"/>
      <c r="M48" s="134" t="n"/>
      <c r="N48" s="134" t="n"/>
      <c r="O48" s="134" t="n"/>
      <c r="P48" s="134" t="n"/>
      <c r="Q48" s="134" t="n"/>
      <c r="R48" s="134" t="n"/>
      <c r="S48" s="134" t="n"/>
      <c r="T48" s="134" t="n"/>
    </row>
    <row r="49" ht="14.25" customHeight="1">
      <c r="A49" s="134" t="n"/>
      <c r="B49" s="139" t="n"/>
      <c r="C49" s="140" t="n"/>
      <c r="D49" s="134" t="n"/>
      <c r="E49" s="134" t="n"/>
      <c r="F49" s="134" t="n"/>
      <c r="G49" s="134" t="n"/>
      <c r="H49" s="134" t="n"/>
      <c r="I49" s="134" t="n"/>
      <c r="J49" s="134" t="n"/>
      <c r="K49" s="134" t="n"/>
      <c r="L49" s="134" t="n"/>
      <c r="M49" s="134" t="n"/>
      <c r="N49" s="134" t="n"/>
      <c r="O49" s="134" t="n"/>
      <c r="P49" s="134" t="n"/>
      <c r="Q49" s="134" t="n"/>
      <c r="R49" s="134" t="n"/>
      <c r="S49" s="134" t="n"/>
      <c r="T49" s="134" t="n"/>
    </row>
  </sheetData>
  <mergeCells count="23">
    <mergeCell ref="R4:R5"/>
    <mergeCell ref="T4:T5"/>
    <mergeCell ref="C4:C5"/>
    <mergeCell ref="Q4:Q5"/>
    <mergeCell ref="K3:N3"/>
    <mergeCell ref="C1:G1"/>
    <mergeCell ref="L4:L5"/>
    <mergeCell ref="H3:J3"/>
    <mergeCell ref="A4:A5"/>
    <mergeCell ref="G4:G5"/>
    <mergeCell ref="A2:N2"/>
    <mergeCell ref="K4:K5"/>
    <mergeCell ref="S4:S5"/>
    <mergeCell ref="D4:E4"/>
    <mergeCell ref="O2:O5"/>
    <mergeCell ref="M4:M5"/>
    <mergeCell ref="B4:B5"/>
    <mergeCell ref="A3:G3"/>
    <mergeCell ref="F4:F5"/>
    <mergeCell ref="N4:N5"/>
    <mergeCell ref="H4:J4"/>
    <mergeCell ref="P4:P5"/>
    <mergeCell ref="P2:T3"/>
  </mergeCells>
  <pageMargins left="0.75" right="0.75" top="1" bottom="1" header="0" footer="0"/>
  <pageSetup orientation="portrait"/>
</worksheet>
</file>

<file path=xl/worksheets/sheet4.xml><?xml version="1.0" encoding="utf-8"?>
<worksheet xmlns="http://schemas.openxmlformats.org/spreadsheetml/2006/main">
  <sheetPr>
    <tabColor rgb="FF00B050"/>
    <outlinePr summaryBelow="1" summaryRight="1"/>
    <pageSetUpPr/>
  </sheetPr>
  <dimension ref="A1:I16"/>
  <sheetViews>
    <sheetView workbookViewId="0">
      <selection activeCell="A9" sqref="A9"/>
    </sheetView>
  </sheetViews>
  <sheetFormatPr baseColWidth="8" defaultColWidth="11.42578125" defaultRowHeight="12.75"/>
  <cols>
    <col width="26.5703125" customWidth="1" min="1" max="1"/>
    <col width="17.140625" customWidth="1" min="2" max="2"/>
    <col width="24.7109375" customWidth="1" min="3" max="3"/>
    <col width="20.5703125" customWidth="1" min="4" max="4"/>
    <col width="24.7109375" customWidth="1" min="5" max="5"/>
    <col width="25.42578125" customWidth="1" min="6" max="6"/>
    <col width="20.7109375" customWidth="1" min="7" max="7"/>
    <col width="34.85546875" customWidth="1" min="8" max="8"/>
    <col width="30.5703125" customWidth="1" min="9" max="9"/>
  </cols>
  <sheetData>
    <row r="1" ht="12.75" customHeight="1">
      <c r="A1" s="123" t="inlineStr">
        <is>
          <t>NOMBRE DEL CONTROL</t>
        </is>
      </c>
      <c r="B1" s="123" t="inlineStr">
        <is>
          <t>TIPO DE CONTROL2</t>
        </is>
      </c>
      <c r="C1" s="123" t="inlineStr">
        <is>
          <t>DESCRIPCIÓN DEL CONTROL</t>
        </is>
      </c>
      <c r="D1" s="123" t="inlineStr">
        <is>
          <t>ESTADO DEL CONTROL</t>
        </is>
      </c>
      <c r="E1" s="123" t="inlineStr">
        <is>
          <t>NATURALEZA DEL CONTROL</t>
        </is>
      </c>
      <c r="F1" s="123" t="inlineStr">
        <is>
          <t>RESPONSABLE DEL CONTROL</t>
        </is>
      </c>
      <c r="G1" s="123" t="inlineStr">
        <is>
          <t>CONTROLES DISMINUYEN PROBABILIDAD</t>
        </is>
      </c>
      <c r="H1" s="123" t="inlineStr">
        <is>
          <t>CONTROLES DISMINUYEN IMPACTO</t>
        </is>
      </c>
      <c r="I1" s="123" t="inlineStr">
        <is>
          <t>SOLIDEZ DEL CONTROL</t>
        </is>
      </c>
    </row>
    <row r="2" ht="45" customHeight="1">
      <c r="A2" s="137" t="inlineStr">
        <is>
          <t>Control A</t>
        </is>
      </c>
      <c r="B2" s="137" t="inlineStr">
        <is>
          <t>Tecnológico</t>
        </is>
      </c>
      <c r="C2" s="137" t="inlineStr">
        <is>
          <t>WAF en frontales/API Gateway (L7/OWASP, rate limiting).</t>
        </is>
      </c>
      <c r="D2" s="137" t="inlineStr">
        <is>
          <t>Implementado y no documentado</t>
        </is>
      </c>
      <c r="E2" s="137" t="inlineStr">
        <is>
          <t>Automático</t>
        </is>
      </c>
      <c r="F2" s="137" t="inlineStr">
        <is>
          <t>Líder de Seguridad</t>
        </is>
      </c>
      <c r="G2" s="137" t="inlineStr">
        <is>
          <t>Directamente</t>
        </is>
      </c>
      <c r="H2" s="137" t="inlineStr">
        <is>
          <t>Indirectamente</t>
        </is>
      </c>
      <c r="I2" s="137" t="inlineStr">
        <is>
          <t>Fuerte</t>
        </is>
      </c>
    </row>
    <row r="3" ht="30" customHeight="1">
      <c r="A3" s="137" t="inlineStr">
        <is>
          <t>Control B</t>
        </is>
      </c>
      <c r="B3" s="137" t="inlineStr">
        <is>
          <t>Administrativo</t>
        </is>
      </c>
      <c r="C3" s="137" t="inlineStr">
        <is>
          <t>Hardening/CIS para SO, contenedores y BD.</t>
        </is>
      </c>
      <c r="D3" s="137" t="inlineStr">
        <is>
          <t>Implementado y documentado</t>
        </is>
      </c>
      <c r="E3" s="137" t="inlineStr">
        <is>
          <t>Semiautomático</t>
        </is>
      </c>
      <c r="F3" s="137" t="inlineStr">
        <is>
          <t>Arquitecto de Infraestructura</t>
        </is>
      </c>
      <c r="G3" s="137" t="inlineStr">
        <is>
          <t>Indirectamente</t>
        </is>
      </c>
      <c r="H3" s="137" t="inlineStr">
        <is>
          <t>Indirectamente</t>
        </is>
      </c>
      <c r="I3" s="137" t="inlineStr">
        <is>
          <t>Moderado</t>
        </is>
      </c>
    </row>
    <row r="4" ht="30" customHeight="1">
      <c r="A4" s="137" t="inlineStr">
        <is>
          <t>Control C</t>
        </is>
      </c>
      <c r="B4" s="137" t="inlineStr">
        <is>
          <t>Tecnológico</t>
        </is>
      </c>
      <c r="C4" s="137" t="inlineStr">
        <is>
          <t>TLS 1.2+ con HSTS y PFS en tránsito.</t>
        </is>
      </c>
      <c r="D4" s="137" t="inlineStr">
        <is>
          <t>Implementado y documentado</t>
        </is>
      </c>
      <c r="E4" s="137" t="inlineStr">
        <is>
          <t>Automático</t>
        </is>
      </c>
      <c r="F4" s="137" t="inlineStr">
        <is>
          <t>Líder de Seguridad</t>
        </is>
      </c>
      <c r="G4" s="137" t="inlineStr">
        <is>
          <t>Directamente</t>
        </is>
      </c>
      <c r="H4" s="137" t="inlineStr">
        <is>
          <t>Indirectamente</t>
        </is>
      </c>
      <c r="I4" s="137" t="inlineStr">
        <is>
          <t>Fuerte</t>
        </is>
      </c>
    </row>
    <row r="5" ht="30" customHeight="1">
      <c r="A5" s="137" t="inlineStr">
        <is>
          <t>Control D</t>
        </is>
      </c>
      <c r="B5" s="137" t="inlineStr">
        <is>
          <t>Tecnológico</t>
        </is>
      </c>
      <c r="C5" s="137" t="inlineStr">
        <is>
          <t>Cifrado en reposo (AES-256) en BD/volúmenes.</t>
        </is>
      </c>
      <c r="D5" s="137" t="inlineStr">
        <is>
          <t>Implementado y documentado</t>
        </is>
      </c>
      <c r="E5" s="137" t="inlineStr">
        <is>
          <t>Automático</t>
        </is>
      </c>
      <c r="F5" s="137" t="inlineStr">
        <is>
          <t>DBA Principal</t>
        </is>
      </c>
      <c r="G5" s="137" t="inlineStr">
        <is>
          <t>No disminuye</t>
        </is>
      </c>
      <c r="H5" s="137" t="inlineStr">
        <is>
          <t>Directamente</t>
        </is>
      </c>
      <c r="I5" s="137" t="inlineStr">
        <is>
          <t>Fuerte</t>
        </is>
      </c>
    </row>
    <row r="6" ht="45" customHeight="1">
      <c r="A6" s="137" t="inlineStr">
        <is>
          <t>Control E</t>
        </is>
      </c>
      <c r="B6" s="137" t="inlineStr">
        <is>
          <t>Administrativo</t>
        </is>
      </c>
      <c r="C6" s="137" t="inlineStr">
        <is>
          <t>Gestión de vulnerabilidades (escaneo, parchado).</t>
        </is>
      </c>
      <c r="D6" s="137" t="inlineStr">
        <is>
          <t>Implementado y documentado</t>
        </is>
      </c>
      <c r="E6" s="137" t="inlineStr">
        <is>
          <t>Semiautomático</t>
        </is>
      </c>
      <c r="F6" s="137" t="inlineStr">
        <is>
          <t>Coordinador de TI</t>
        </is>
      </c>
      <c r="G6" s="137" t="inlineStr">
        <is>
          <t>Directamente</t>
        </is>
      </c>
      <c r="H6" s="137" t="inlineStr">
        <is>
          <t>Indirectamente</t>
        </is>
      </c>
      <c r="I6" s="137" t="inlineStr">
        <is>
          <t>Moderado</t>
        </is>
      </c>
    </row>
    <row r="7" ht="30" customHeight="1">
      <c r="A7" s="137" t="inlineStr">
        <is>
          <t>Control F</t>
        </is>
      </c>
      <c r="B7" s="137" t="inlineStr">
        <is>
          <t>Tecnológico</t>
        </is>
      </c>
      <c r="C7" s="137" t="inlineStr">
        <is>
          <t>MFA para clientes y personal interno.</t>
        </is>
      </c>
      <c r="D7" s="137" t="inlineStr">
        <is>
          <t>Implementado y documentado</t>
        </is>
      </c>
      <c r="E7" s="137" t="inlineStr">
        <is>
          <t>Automático</t>
        </is>
      </c>
      <c r="F7" s="137" t="inlineStr">
        <is>
          <t>Product Owner Canales</t>
        </is>
      </c>
      <c r="G7" s="137" t="inlineStr">
        <is>
          <t>Directamente</t>
        </is>
      </c>
      <c r="H7" s="137" t="inlineStr">
        <is>
          <t>Indirectamente</t>
        </is>
      </c>
      <c r="I7" s="137" t="inlineStr">
        <is>
          <t>Fuerte</t>
        </is>
      </c>
    </row>
    <row r="8" ht="30" customHeight="1">
      <c r="A8" s="137" t="inlineStr">
        <is>
          <t>Control G</t>
        </is>
      </c>
      <c r="B8" s="137" t="inlineStr">
        <is>
          <t>Tecnológico</t>
        </is>
      </c>
      <c r="C8" s="137" t="inlineStr">
        <is>
          <t>IDS/IPS perimetral y segmentación.</t>
        </is>
      </c>
      <c r="D8" s="137" t="inlineStr">
        <is>
          <t>Implementado y no documentado</t>
        </is>
      </c>
      <c r="E8" s="137" t="inlineStr">
        <is>
          <t>Automático</t>
        </is>
      </c>
      <c r="F8" s="137" t="inlineStr">
        <is>
          <t>NOC/SOC</t>
        </is>
      </c>
      <c r="G8" s="137" t="inlineStr">
        <is>
          <t>Directamente</t>
        </is>
      </c>
      <c r="H8" s="137" t="inlineStr">
        <is>
          <t>Indirectamente</t>
        </is>
      </c>
      <c r="I8" s="137" t="inlineStr">
        <is>
          <t>Moderado</t>
        </is>
      </c>
    </row>
    <row r="9" ht="30" customHeight="1">
      <c r="A9" s="137" t="inlineStr">
        <is>
          <t>Control H</t>
        </is>
      </c>
      <c r="B9" s="137" t="inlineStr">
        <is>
          <t>Tecnológico</t>
        </is>
      </c>
      <c r="C9" s="137" t="inlineStr">
        <is>
          <t>SIEM con correlación/alertas 24x7.</t>
        </is>
      </c>
      <c r="D9" s="137" t="inlineStr">
        <is>
          <t>Implementado y documentado</t>
        </is>
      </c>
      <c r="E9" s="137" t="inlineStr">
        <is>
          <t>Automático</t>
        </is>
      </c>
      <c r="F9" s="137" t="inlineStr">
        <is>
          <t>SOC</t>
        </is>
      </c>
      <c r="G9" s="137" t="inlineStr">
        <is>
          <t>Indirectamente</t>
        </is>
      </c>
      <c r="H9" s="137" t="inlineStr">
        <is>
          <t>Indirectamente</t>
        </is>
      </c>
      <c r="I9" s="137" t="inlineStr">
        <is>
          <t>Moderado</t>
        </is>
      </c>
    </row>
    <row r="10" ht="30" customHeight="1">
      <c r="A10" s="137" t="inlineStr">
        <is>
          <t>Control I</t>
        </is>
      </c>
      <c r="B10" s="137" t="inlineStr">
        <is>
          <t>Tecnológico</t>
        </is>
      </c>
      <c r="C10" s="137" t="inlineStr">
        <is>
          <t>DLP para datos sensibles.</t>
        </is>
      </c>
      <c r="D10" s="137" t="inlineStr">
        <is>
          <t>No implementado y documentado</t>
        </is>
      </c>
      <c r="E10" s="137" t="inlineStr">
        <is>
          <t>Automático</t>
        </is>
      </c>
      <c r="F10" s="137" t="inlineStr">
        <is>
          <t>Líder de Seguridad</t>
        </is>
      </c>
      <c r="G10" s="137" t="inlineStr">
        <is>
          <t>Indirectamente</t>
        </is>
      </c>
      <c r="H10" s="137" t="inlineStr">
        <is>
          <t>Directamente</t>
        </is>
      </c>
      <c r="I10" s="137" t="inlineStr">
        <is>
          <t>Débil</t>
        </is>
      </c>
    </row>
    <row r="11" ht="30" customHeight="1">
      <c r="A11" s="137" t="inlineStr">
        <is>
          <t>Control J</t>
        </is>
      </c>
      <c r="B11" s="137" t="inlineStr">
        <is>
          <t>Tecnológico</t>
        </is>
      </c>
      <c r="C11" s="137" t="inlineStr">
        <is>
          <t>Backups cifrados + pruebas de restauración.</t>
        </is>
      </c>
      <c r="D11" s="137" t="inlineStr">
        <is>
          <t>Implementado y documentado</t>
        </is>
      </c>
      <c r="E11" s="137" t="inlineStr">
        <is>
          <t>Semiautomático</t>
        </is>
      </c>
      <c r="F11" s="137" t="inlineStr">
        <is>
          <t>DBA Principal</t>
        </is>
      </c>
      <c r="G11" s="137" t="inlineStr">
        <is>
          <t>No disminuye</t>
        </is>
      </c>
      <c r="H11" s="137" t="inlineStr">
        <is>
          <t>Directamente</t>
        </is>
      </c>
      <c r="I11" s="137" t="inlineStr">
        <is>
          <t>Fuerte</t>
        </is>
      </c>
    </row>
    <row r="12" ht="30" customHeight="1">
      <c r="A12" s="137" t="inlineStr">
        <is>
          <t>Control K</t>
        </is>
      </c>
      <c r="B12" s="137" t="inlineStr">
        <is>
          <t>Tecnológico</t>
        </is>
      </c>
      <c r="C12" s="137" t="inlineStr">
        <is>
          <t>HSM para gestión y custodia de claves.</t>
        </is>
      </c>
      <c r="D12" s="137" t="inlineStr">
        <is>
          <t>Implementado y documentado</t>
        </is>
      </c>
      <c r="E12" s="137" t="inlineStr">
        <is>
          <t>Automático</t>
        </is>
      </c>
      <c r="F12" s="137" t="inlineStr">
        <is>
          <t>Líder de Seguridad</t>
        </is>
      </c>
      <c r="G12" s="137" t="inlineStr">
        <is>
          <t>Indirectamente</t>
        </is>
      </c>
      <c r="H12" s="137" t="inlineStr">
        <is>
          <t>Directamente</t>
        </is>
      </c>
      <c r="I12" s="137" t="inlineStr">
        <is>
          <t>Fuerte</t>
        </is>
      </c>
    </row>
    <row r="13" ht="30" customHeight="1">
      <c r="A13" s="137" t="inlineStr">
        <is>
          <t>Control L</t>
        </is>
      </c>
      <c r="B13" s="137" t="inlineStr">
        <is>
          <t>Tecnológico</t>
        </is>
      </c>
      <c r="C13" s="137" t="inlineStr">
        <is>
          <t>Segregación de redes (DMZ/VLAN/Zero Trust).</t>
        </is>
      </c>
      <c r="D13" s="137" t="inlineStr">
        <is>
          <t>Implementado y no documentado</t>
        </is>
      </c>
      <c r="E13" s="137" t="inlineStr">
        <is>
          <t>Automático</t>
        </is>
      </c>
      <c r="F13" s="137" t="inlineStr">
        <is>
          <t>Arquitecto de Redes</t>
        </is>
      </c>
      <c r="G13" s="137" t="inlineStr">
        <is>
          <t>Directamente</t>
        </is>
      </c>
      <c r="H13" s="137" t="inlineStr">
        <is>
          <t>Indirectamente</t>
        </is>
      </c>
      <c r="I13" s="137" t="inlineStr">
        <is>
          <t>Moderado</t>
        </is>
      </c>
    </row>
    <row r="14" ht="30" customHeight="1">
      <c r="A14" s="137" t="inlineStr">
        <is>
          <t>Control M</t>
        </is>
      </c>
      <c r="B14" s="137" t="inlineStr">
        <is>
          <t>Tecnológico</t>
        </is>
      </c>
      <c r="C14" s="137" t="inlineStr">
        <is>
          <t>MDM/App shielding/anti-tampering.</t>
        </is>
      </c>
      <c r="D14" s="137" t="inlineStr">
        <is>
          <t>No implementado y no documentado</t>
        </is>
      </c>
      <c r="E14" s="137" t="inlineStr">
        <is>
          <t>Automático</t>
        </is>
      </c>
      <c r="F14" s="137" t="inlineStr">
        <is>
          <t>Líder Canales Digitales</t>
        </is>
      </c>
      <c r="G14" s="137" t="inlineStr">
        <is>
          <t>Directamente</t>
        </is>
      </c>
      <c r="H14" s="137" t="inlineStr">
        <is>
          <t>Indirectamente</t>
        </is>
      </c>
      <c r="I14" s="137" t="inlineStr">
        <is>
          <t>Débil</t>
        </is>
      </c>
    </row>
    <row r="15" ht="30" customHeight="1">
      <c r="A15" s="137" t="inlineStr">
        <is>
          <t>Control N</t>
        </is>
      </c>
      <c r="B15" s="137" t="inlineStr">
        <is>
          <t>Tecnológico</t>
        </is>
      </c>
      <c r="C15" s="137" t="inlineStr">
        <is>
          <t>Protección anti-DDoS (scrubbing/CDN).</t>
        </is>
      </c>
      <c r="D15" s="137" t="inlineStr">
        <is>
          <t>Implementado y no documentado</t>
        </is>
      </c>
      <c r="E15" s="137" t="inlineStr">
        <is>
          <t>Automático</t>
        </is>
      </c>
      <c r="F15" s="137" t="inlineStr">
        <is>
          <t>Arquitecto de Redes</t>
        </is>
      </c>
      <c r="G15" s="137" t="inlineStr">
        <is>
          <t>Directamente</t>
        </is>
      </c>
      <c r="H15" s="137" t="inlineStr">
        <is>
          <t>Indirectamente</t>
        </is>
      </c>
      <c r="I15" s="137" t="inlineStr">
        <is>
          <t>Moderado</t>
        </is>
      </c>
    </row>
    <row r="16" ht="30" customHeight="1">
      <c r="A16" s="137" t="inlineStr">
        <is>
          <t>Control O</t>
        </is>
      </c>
      <c r="B16" s="137" t="inlineStr">
        <is>
          <t>Organizativo</t>
        </is>
      </c>
      <c r="C16" s="137" t="inlineStr">
        <is>
          <t>DRP/BCP con RTO/RPO y pruebas.</t>
        </is>
      </c>
      <c r="D16" s="137" t="inlineStr">
        <is>
          <t>Implementado y documentado</t>
        </is>
      </c>
      <c r="E16" s="137" t="inlineStr">
        <is>
          <t>Manual</t>
        </is>
      </c>
      <c r="F16" s="137" t="inlineStr">
        <is>
          <t>Gerente de Tecnología</t>
        </is>
      </c>
      <c r="G16" s="137" t="inlineStr">
        <is>
          <t>No disminuye</t>
        </is>
      </c>
      <c r="H16" s="137" t="inlineStr">
        <is>
          <t>Directamente</t>
        </is>
      </c>
      <c r="I16" s="137" t="inlineStr">
        <is>
          <t>Moderado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Hoja3">
    <tabColor rgb="FF00B050"/>
    <outlinePr summaryBelow="1" summaryRight="1"/>
    <pageSetUpPr/>
  </sheetPr>
  <dimension ref="A1:B23"/>
  <sheetViews>
    <sheetView workbookViewId="0">
      <selection activeCell="B6" sqref="B6"/>
    </sheetView>
  </sheetViews>
  <sheetFormatPr baseColWidth="8" defaultColWidth="11.42578125" defaultRowHeight="12.75"/>
  <cols>
    <col width="27.140625" customWidth="1" min="1" max="1"/>
    <col width="33.42578125" customWidth="1" min="2" max="2"/>
  </cols>
  <sheetData>
    <row r="1" ht="43.5" customHeight="1">
      <c r="A1" s="12" t="inlineStr">
        <is>
          <t>AMENAZAS</t>
        </is>
      </c>
      <c r="B1" s="13" t="inlineStr">
        <is>
          <t>CATEGORIA DE AMENAZAS</t>
        </is>
      </c>
    </row>
    <row r="2">
      <c r="A2" s="43" t="inlineStr">
        <is>
          <t>Amenaza 1</t>
        </is>
      </c>
      <c r="B2" s="43" t="inlineStr">
        <is>
          <t>Amenazas naturales</t>
        </is>
      </c>
    </row>
    <row r="3">
      <c r="A3" s="43" t="inlineStr">
        <is>
          <t>Amenaza 2</t>
        </is>
      </c>
      <c r="B3" s="43" t="inlineStr">
        <is>
          <t>Amenazas naturales</t>
        </is>
      </c>
    </row>
    <row r="4">
      <c r="A4" s="43" t="inlineStr">
        <is>
          <t>Amenaza 3</t>
        </is>
      </c>
      <c r="B4" s="43" t="inlineStr">
        <is>
          <t>Amenazas TIC</t>
        </is>
      </c>
    </row>
    <row r="5">
      <c r="A5" s="43" t="inlineStr">
        <is>
          <t>Amenaza 4</t>
        </is>
      </c>
      <c r="B5" s="43" t="n"/>
    </row>
    <row r="6">
      <c r="A6" s="43" t="inlineStr">
        <is>
          <t>Amenaza 5</t>
        </is>
      </c>
      <c r="B6" s="43" t="n"/>
    </row>
    <row r="7">
      <c r="A7" s="43" t="inlineStr">
        <is>
          <t>Amenaza 6</t>
        </is>
      </c>
      <c r="B7" s="43" t="n"/>
    </row>
    <row r="8">
      <c r="A8" s="43" t="inlineStr">
        <is>
          <t>Amenaza 7</t>
        </is>
      </c>
      <c r="B8" s="43" t="n"/>
    </row>
    <row r="9">
      <c r="A9" s="43" t="inlineStr">
        <is>
          <t>Amenaza 8</t>
        </is>
      </c>
      <c r="B9" s="43" t="n"/>
    </row>
    <row r="10">
      <c r="A10" s="43" t="inlineStr">
        <is>
          <t>Amenaza 9</t>
        </is>
      </c>
      <c r="B10" s="43" t="n"/>
    </row>
    <row r="11">
      <c r="A11" s="43" t="inlineStr">
        <is>
          <t>Amenaza 10</t>
        </is>
      </c>
      <c r="B11" s="43" t="n"/>
    </row>
    <row r="12">
      <c r="A12" s="43" t="inlineStr">
        <is>
          <t>Amenaza 11</t>
        </is>
      </c>
      <c r="B12" s="43" t="n"/>
    </row>
    <row r="13">
      <c r="A13" s="43" t="inlineStr">
        <is>
          <t>Amenaza 12</t>
        </is>
      </c>
      <c r="B13" s="43" t="n"/>
    </row>
    <row r="14">
      <c r="A14" s="43" t="inlineStr">
        <is>
          <t>Amenaza 13</t>
        </is>
      </c>
      <c r="B14" s="43" t="n"/>
    </row>
    <row r="15">
      <c r="A15" s="43" t="inlineStr">
        <is>
          <t>Amenaza 14</t>
        </is>
      </c>
      <c r="B15" s="43" t="n"/>
    </row>
    <row r="16">
      <c r="A16" s="43" t="inlineStr">
        <is>
          <t>Amenaza 15</t>
        </is>
      </c>
      <c r="B16" s="43" t="n"/>
    </row>
    <row r="17">
      <c r="A17" s="43" t="inlineStr">
        <is>
          <t>Amenaza 16</t>
        </is>
      </c>
      <c r="B17" s="43" t="n"/>
    </row>
    <row r="18">
      <c r="A18" s="43" t="inlineStr">
        <is>
          <t>Amenaza 17</t>
        </is>
      </c>
      <c r="B18" s="43" t="n"/>
    </row>
    <row r="19">
      <c r="A19" s="43" t="inlineStr">
        <is>
          <t>Amenaza 18</t>
        </is>
      </c>
      <c r="B19" s="43" t="n"/>
    </row>
    <row r="20">
      <c r="A20" s="43" t="inlineStr">
        <is>
          <t>Amenaza 19</t>
        </is>
      </c>
      <c r="B20" s="43" t="n"/>
    </row>
    <row r="21">
      <c r="A21" s="43" t="inlineStr">
        <is>
          <t>Amenaza 20</t>
        </is>
      </c>
      <c r="B21" s="43" t="n"/>
    </row>
    <row r="22">
      <c r="A22" s="43" t="inlineStr">
        <is>
          <t>Amenaza 21</t>
        </is>
      </c>
      <c r="B22" s="43" t="n"/>
    </row>
    <row r="23">
      <c r="A23" s="43" t="inlineStr">
        <is>
          <t>Amenaza 22</t>
        </is>
      </c>
      <c r="B23" s="43" t="n"/>
    </row>
  </sheetData>
  <dataValidations count="1">
    <dataValidation sqref="B2:B23" showDropDown="0" showInputMessage="1" showErrorMessage="1" allowBlank="1" type="list">
      <formula1>"Amenazas TIC,Amenazas naturales,Amenazas humanas/Sociales,Amenazas asociadas a proyectos"</formula1>
    </dataValidation>
  </dataValidations>
  <pageMargins left="0.75" right="0.75" top="1" bottom="1" header="0" footer="0"/>
</worksheet>
</file>

<file path=xl/worksheets/sheet6.xml><?xml version="1.0" encoding="utf-8"?>
<worksheet xmlns="http://schemas.openxmlformats.org/spreadsheetml/2006/main">
  <sheetPr codeName="Hoja4">
    <tabColor rgb="FF0070C0"/>
    <outlinePr summaryBelow="1" summaryRight="1"/>
    <pageSetUpPr/>
  </sheetPr>
  <dimension ref="A1:D53"/>
  <sheetViews>
    <sheetView workbookViewId="0">
      <selection activeCell="D24" sqref="D24"/>
    </sheetView>
  </sheetViews>
  <sheetFormatPr baseColWidth="8" defaultColWidth="11.42578125" defaultRowHeight="12.75"/>
  <cols>
    <col width="5.28515625" bestFit="1" customWidth="1" min="1" max="1"/>
    <col width="15.28515625" customWidth="1" min="2" max="2"/>
    <col width="55.140625" customWidth="1" min="3" max="3"/>
    <col width="63.7109375" customWidth="1" min="4" max="4"/>
  </cols>
  <sheetData>
    <row r="1" ht="18.75" customHeight="1" thickBot="1">
      <c r="A1" s="158" t="inlineStr">
        <is>
          <t>TABLAS DE PROBABILIDAD/FRECUENCIA</t>
        </is>
      </c>
      <c r="B1" s="219" t="n"/>
      <c r="C1" s="219" t="n"/>
    </row>
    <row r="2" ht="26.25" customHeight="1" thickBot="1">
      <c r="A2" s="124" t="inlineStr">
        <is>
          <t>Nivel</t>
        </is>
      </c>
      <c r="B2" s="124" t="inlineStr">
        <is>
          <t>Rangos</t>
        </is>
      </c>
      <c r="C2" s="124" t="inlineStr">
        <is>
          <t>Ejemplo detallado de la descripción</t>
        </is>
      </c>
    </row>
    <row r="3" ht="13.5" customHeight="1" thickBot="1">
      <c r="A3" s="125" t="n">
        <v>1</v>
      </c>
      <c r="B3" s="124" t="inlineStr">
        <is>
          <t>Raro</t>
        </is>
      </c>
      <c r="C3" s="4" t="inlineStr">
        <is>
          <t>Puede ocurrir solo bajo circunstancias excepcionales</t>
        </is>
      </c>
    </row>
    <row r="4" ht="13.5" customHeight="1" thickBot="1">
      <c r="A4" s="125" t="n">
        <v>2</v>
      </c>
      <c r="B4" s="124" t="inlineStr">
        <is>
          <t>Improbable</t>
        </is>
      </c>
      <c r="C4" s="4" t="inlineStr">
        <is>
          <t>Podría ocurrir algunas veces</t>
        </is>
      </c>
    </row>
    <row r="5" ht="13.5" customHeight="1" thickBot="1">
      <c r="A5" s="125" t="n">
        <v>3</v>
      </c>
      <c r="B5" s="124" t="inlineStr">
        <is>
          <t>Posible</t>
        </is>
      </c>
      <c r="C5" s="4" t="inlineStr">
        <is>
          <t>Puede ocurrir en algún momento</t>
        </is>
      </c>
    </row>
    <row r="6" ht="13.5" customHeight="1" thickBot="1">
      <c r="A6" s="125" t="n">
        <v>4</v>
      </c>
      <c r="B6" s="124" t="inlineStr">
        <is>
          <t>Probable</t>
        </is>
      </c>
      <c r="C6" s="4" t="inlineStr">
        <is>
          <t>Probabilidad de ocurrencia en la mayoría de las circunstancias</t>
        </is>
      </c>
    </row>
    <row r="7" ht="26.25" customHeight="1" thickBot="1">
      <c r="A7" s="125" t="n">
        <v>5</v>
      </c>
      <c r="B7" s="124" t="inlineStr">
        <is>
          <t>Casi seguro</t>
        </is>
      </c>
      <c r="C7" s="4" t="inlineStr">
        <is>
          <t>La expectativa de ocurrencia se da en la mayoría de circunstancias</t>
        </is>
      </c>
    </row>
    <row r="10" ht="18.75" customHeight="1" thickBot="1">
      <c r="A10" s="158" t="inlineStr">
        <is>
          <t>TABLAS DE IMPACTO</t>
        </is>
      </c>
      <c r="B10" s="219" t="n"/>
      <c r="C10" s="219" t="n"/>
    </row>
    <row r="11" ht="18.75" customHeight="1" thickBot="1">
      <c r="A11" s="159" t="inlineStr">
        <is>
          <t>Impacto en la FINANCIERO</t>
        </is>
      </c>
      <c r="B11" s="220" t="n"/>
      <c r="C11" s="220" t="n"/>
    </row>
    <row r="12" ht="26.25" customHeight="1" thickBot="1">
      <c r="A12" s="126" t="inlineStr">
        <is>
          <t>Nivel</t>
        </is>
      </c>
      <c r="B12" s="126" t="inlineStr">
        <is>
          <t>Rangos</t>
        </is>
      </c>
      <c r="C12" s="126" t="inlineStr">
        <is>
          <t>Ejemplo detallado de la descripción</t>
        </is>
      </c>
    </row>
    <row r="13" ht="13.5" customHeight="1" thickBot="1">
      <c r="A13" s="127" t="n">
        <v>1</v>
      </c>
      <c r="B13" s="128" t="inlineStr">
        <is>
          <t>Insignificante</t>
        </is>
      </c>
      <c r="C13" s="5" t="inlineStr">
        <is>
          <t>Pérdida menores a $6 millones</t>
        </is>
      </c>
    </row>
    <row r="14" ht="13.5" customHeight="1" thickBot="1">
      <c r="A14" s="127" t="n">
        <v>2</v>
      </c>
      <c r="B14" s="128" t="inlineStr">
        <is>
          <t>Menor</t>
        </is>
      </c>
      <c r="C14" s="5" t="inlineStr">
        <is>
          <t>Pérdida de $6 millones a $15,9 millones</t>
        </is>
      </c>
    </row>
    <row r="15" ht="13.5" customHeight="1" thickBot="1">
      <c r="A15" s="127" t="n">
        <v>3</v>
      </c>
      <c r="B15" s="128" t="inlineStr">
        <is>
          <t>Intermedio</t>
        </is>
      </c>
      <c r="C15" s="5" t="inlineStr">
        <is>
          <t>Pérdida de $16 millones a $29,9 millones</t>
        </is>
      </c>
    </row>
    <row r="16" ht="13.5" customHeight="1" thickBot="1">
      <c r="A16" s="127" t="n">
        <v>4</v>
      </c>
      <c r="B16" s="128" t="inlineStr">
        <is>
          <t>Mayor</t>
        </is>
      </c>
      <c r="C16" s="5" t="inlineStr">
        <is>
          <t>Pérdida de $30 millones a $40 millones</t>
        </is>
      </c>
    </row>
    <row r="17" ht="13.5" customHeight="1" thickBot="1">
      <c r="A17" s="127" t="n">
        <v>5</v>
      </c>
      <c r="B17" s="128" t="inlineStr">
        <is>
          <t>Superior</t>
        </is>
      </c>
      <c r="C17" s="5" t="inlineStr">
        <is>
          <t>Pérdida superior a los $40 millones</t>
        </is>
      </c>
    </row>
    <row r="19" ht="13.5" customHeight="1" thickBot="1"/>
    <row r="20" ht="18.75" customHeight="1" thickBot="1">
      <c r="A20" s="221" t="inlineStr">
        <is>
          <t>Impacto en la OPERACIÓN</t>
        </is>
      </c>
      <c r="B20" s="222" t="n"/>
      <c r="C20" s="223" t="n"/>
    </row>
    <row r="21" ht="26.25" customHeight="1" thickBot="1">
      <c r="A21" s="129" t="inlineStr">
        <is>
          <t>Nivel</t>
        </is>
      </c>
      <c r="B21" s="129" t="inlineStr">
        <is>
          <t>Rangos</t>
        </is>
      </c>
      <c r="C21" s="129" t="inlineStr">
        <is>
          <t>Ejemplo detallado de la descripción</t>
        </is>
      </c>
    </row>
    <row r="22" ht="26.25" customHeight="1" thickBot="1">
      <c r="A22" s="127" t="n">
        <v>1</v>
      </c>
      <c r="B22" s="128" t="inlineStr">
        <is>
          <t>Insignificante</t>
        </is>
      </c>
      <c r="C22" s="5" t="inlineStr">
        <is>
          <t>Hay una indisponibilidad menor a 4 y la puede resolver la mesa de ayuda.</t>
        </is>
      </c>
    </row>
    <row r="23" ht="26.25" customHeight="1" thickBot="1">
      <c r="A23" s="127" t="n">
        <v>2</v>
      </c>
      <c r="B23" s="128" t="inlineStr">
        <is>
          <t>Menor</t>
        </is>
      </c>
      <c r="C23" s="5" t="inlineStr">
        <is>
          <t>Hay una indisponibilidad entre 4 y 12 horas, es necesario escalarlo a 2 nivel</t>
        </is>
      </c>
    </row>
    <row r="24" ht="26.25" customHeight="1" thickBot="1">
      <c r="A24" s="127" t="n">
        <v>3</v>
      </c>
      <c r="B24" s="128" t="inlineStr">
        <is>
          <t>Intermedio</t>
        </is>
      </c>
      <c r="C24" s="5" t="inlineStr">
        <is>
          <t>Hay una indisponibilidad entre 12 y 36 horas, se requiere consulta el proveedor</t>
        </is>
      </c>
    </row>
    <row r="25" ht="26.25" customHeight="1" thickBot="1">
      <c r="A25" s="127" t="n">
        <v>4</v>
      </c>
      <c r="B25" s="128" t="inlineStr">
        <is>
          <t>Mayor</t>
        </is>
      </c>
      <c r="C25" s="5" t="inlineStr">
        <is>
          <t>Hay una indisponibilidad entre 36 y 72 horas, se requiere al proveedor en sitio.</t>
        </is>
      </c>
    </row>
    <row r="26" ht="26.25" customHeight="1" thickBot="1">
      <c r="A26" s="127" t="n">
        <v>5</v>
      </c>
      <c r="B26" s="128" t="inlineStr">
        <is>
          <t>Superior</t>
        </is>
      </c>
      <c r="C26" s="5" t="inlineStr">
        <is>
          <t>Hay una indisponibilidad por más de 72 horas, es necesario establecer un mecanismo de procesamiento alterno.</t>
        </is>
      </c>
    </row>
    <row r="28" ht="13.5" customHeight="1" thickBot="1"/>
    <row r="29" ht="42" customHeight="1" thickBot="1">
      <c r="A29" s="157" t="inlineStr">
        <is>
          <t>Impacto en la INFORMACIÓN (disponibilidad, confiabilidad, integridad)</t>
        </is>
      </c>
      <c r="B29" s="220" t="n"/>
      <c r="C29" s="220" t="n"/>
    </row>
    <row r="30" ht="26.25" customHeight="1" thickBot="1">
      <c r="A30" s="126" t="inlineStr">
        <is>
          <t>Nivel</t>
        </is>
      </c>
      <c r="B30" s="126" t="inlineStr">
        <is>
          <t>Rangos</t>
        </is>
      </c>
      <c r="C30" s="130" t="inlineStr">
        <is>
          <t>Ejemplo detallado de la descripción-disponibilidad</t>
        </is>
      </c>
      <c r="D30" s="131" t="inlineStr">
        <is>
          <t>Confiabilidad</t>
        </is>
      </c>
    </row>
    <row r="31" ht="13.5" customHeight="1" thickBot="1">
      <c r="A31" s="127" t="n">
        <v>1</v>
      </c>
      <c r="B31" s="128" t="inlineStr">
        <is>
          <t>Insignificante</t>
        </is>
      </c>
      <c r="C31" s="6" t="inlineStr">
        <is>
          <t>La información no esta disponible por menos de 3 horas.</t>
        </is>
      </c>
      <c r="D31" s="1" t="inlineStr">
        <is>
          <t>La información puede ser porcesada sin retrazos en lo sproyectos/procesos.</t>
        </is>
      </c>
    </row>
    <row r="32" ht="13.5" customHeight="1" thickBot="1">
      <c r="A32" s="127" t="n">
        <v>2</v>
      </c>
      <c r="B32" s="128" t="inlineStr">
        <is>
          <t>Menor</t>
        </is>
      </c>
      <c r="C32" s="6" t="inlineStr">
        <is>
          <t>La información no esta disponible 3 y 8 horas</t>
        </is>
      </c>
      <c r="D32" s="1" t="n"/>
    </row>
    <row r="33" ht="13.5" customHeight="1" thickBot="1">
      <c r="A33" s="127" t="n">
        <v>3</v>
      </c>
      <c r="B33" s="128" t="inlineStr">
        <is>
          <t>Intermedio</t>
        </is>
      </c>
      <c r="C33" s="6" t="inlineStr">
        <is>
          <t>La información no esta disponible 8 y 14 horas</t>
        </is>
      </c>
      <c r="D33" s="1" t="n"/>
    </row>
    <row r="34" ht="13.5" customHeight="1" thickBot="1">
      <c r="A34" s="127" t="n">
        <v>4</v>
      </c>
      <c r="B34" s="128" t="inlineStr">
        <is>
          <t>Mayor</t>
        </is>
      </c>
      <c r="C34" s="6" t="inlineStr">
        <is>
          <t>La información no esta disponible entre 14 y de 24 horas</t>
        </is>
      </c>
      <c r="D34" s="1" t="n"/>
    </row>
    <row r="35" ht="26.25" customHeight="1" thickBot="1">
      <c r="A35" s="127" t="n">
        <v>5</v>
      </c>
      <c r="B35" s="128" t="inlineStr">
        <is>
          <t>Superior</t>
        </is>
      </c>
      <c r="C35" s="6" t="inlineStr">
        <is>
          <t>La información no esta disponible por más de 24 horas</t>
        </is>
      </c>
      <c r="D35" s="7" t="inlineStr">
        <is>
          <t>La información confiabilidad de la información afecta considerablemente al negocio. No hay fiabilidad de los datos.</t>
        </is>
      </c>
    </row>
    <row r="37" ht="13.5" customHeight="1" thickBot="1"/>
    <row r="38" ht="18.75" customHeight="1" thickBot="1">
      <c r="A38" s="157" t="inlineStr">
        <is>
          <t>Impacto en la IMAGEN</t>
        </is>
      </c>
      <c r="B38" s="220" t="n"/>
      <c r="C38" s="220" t="n"/>
    </row>
    <row r="39" ht="26.25" customHeight="1" thickBot="1">
      <c r="A39" s="126" t="inlineStr">
        <is>
          <t>Nivel</t>
        </is>
      </c>
      <c r="B39" s="126" t="inlineStr">
        <is>
          <t>Rangos</t>
        </is>
      </c>
      <c r="C39" s="126" t="inlineStr">
        <is>
          <t>Ejemplo detallado de la descripción</t>
        </is>
      </c>
    </row>
    <row r="40" ht="13.5" customHeight="1" thickBot="1">
      <c r="A40" s="127" t="n">
        <v>1</v>
      </c>
      <c r="B40" s="128" t="inlineStr">
        <is>
          <t>Insignificante</t>
        </is>
      </c>
      <c r="C40" s="5" t="inlineStr">
        <is>
          <t>Se identifica el problema de imagen a nivel del grupo de trabajo.</t>
        </is>
      </c>
    </row>
    <row r="41" ht="13.5" customHeight="1" thickBot="1">
      <c r="A41" s="127" t="n">
        <v>2</v>
      </c>
      <c r="B41" s="128" t="inlineStr">
        <is>
          <t>Menor</t>
        </is>
      </c>
      <c r="C41" s="5" t="inlineStr">
        <is>
          <t>Se identifica el problema de imagen a nivel empresa.</t>
        </is>
      </c>
    </row>
    <row r="42" ht="13.5" customHeight="1" thickBot="1">
      <c r="A42" s="127" t="n">
        <v>3</v>
      </c>
      <c r="B42" s="128" t="inlineStr">
        <is>
          <t>Intermedio</t>
        </is>
      </c>
      <c r="C42" s="5" t="inlineStr">
        <is>
          <t>Se identifica el problema de imagen a nivel regional.</t>
        </is>
      </c>
    </row>
    <row r="43" ht="13.5" customHeight="1" thickBot="1">
      <c r="A43" s="127" t="n">
        <v>4</v>
      </c>
      <c r="B43" s="128" t="inlineStr">
        <is>
          <t>Mayor</t>
        </is>
      </c>
      <c r="C43" s="5" t="inlineStr">
        <is>
          <t>Se identifica el problema de imagen a nivel nacional.</t>
        </is>
      </c>
    </row>
    <row r="44" ht="13.5" customHeight="1" thickBot="1">
      <c r="A44" s="127" t="n">
        <v>5</v>
      </c>
      <c r="B44" s="128" t="inlineStr">
        <is>
          <t>Superior</t>
        </is>
      </c>
      <c r="C44" s="5" t="inlineStr">
        <is>
          <t>Se identifica el problema de imagen a nivel internacional.</t>
        </is>
      </c>
    </row>
    <row r="46" ht="13.5" customHeight="1" thickBot="1"/>
    <row r="47" ht="18.75" customHeight="1" thickBot="1">
      <c r="A47" s="157" t="inlineStr">
        <is>
          <t>Impacto en los CLIENTES/MERCADO</t>
        </is>
      </c>
      <c r="B47" s="220" t="n"/>
      <c r="C47" s="220" t="n"/>
    </row>
    <row r="48" ht="26.25" customHeight="1" thickBot="1">
      <c r="A48" s="126" t="inlineStr">
        <is>
          <t>Nivel</t>
        </is>
      </c>
      <c r="B48" s="126" t="inlineStr">
        <is>
          <t>Rangos</t>
        </is>
      </c>
      <c r="C48" s="126" t="inlineStr">
        <is>
          <t>Ejemplo detallado de la descripción</t>
        </is>
      </c>
    </row>
    <row r="49" ht="13.5" customHeight="1" thickBot="1">
      <c r="A49" s="127" t="n">
        <v>1</v>
      </c>
      <c r="B49" s="128" t="inlineStr">
        <is>
          <t>Insignificante</t>
        </is>
      </c>
      <c r="C49" s="5" t="inlineStr">
        <is>
          <t>Pérdida menor del 30% de los clientes.</t>
        </is>
      </c>
    </row>
    <row r="50" ht="13.5" customHeight="1" thickBot="1">
      <c r="A50" s="127" t="n">
        <v>2</v>
      </c>
      <c r="B50" s="128" t="inlineStr">
        <is>
          <t>Menor</t>
        </is>
      </c>
      <c r="C50" s="5" t="inlineStr">
        <is>
          <t>Pérdida hasta el 10% de los clientes.</t>
        </is>
      </c>
    </row>
    <row r="51" ht="13.5" customHeight="1" thickBot="1">
      <c r="A51" s="127" t="n">
        <v>3</v>
      </c>
      <c r="B51" s="128" t="inlineStr">
        <is>
          <t>Intermedio</t>
        </is>
      </c>
      <c r="C51" s="5" t="inlineStr">
        <is>
          <t>Pérdida hasta el 15% de los clientes.</t>
        </is>
      </c>
    </row>
    <row r="52" ht="13.5" customHeight="1" thickBot="1">
      <c r="A52" s="127" t="n">
        <v>4</v>
      </c>
      <c r="B52" s="128" t="inlineStr">
        <is>
          <t>Mayor</t>
        </is>
      </c>
      <c r="C52" s="5" t="inlineStr">
        <is>
          <t>Pérdida hasta el 25% de los clientes.</t>
        </is>
      </c>
    </row>
    <row r="53" ht="13.5" customHeight="1" thickBot="1">
      <c r="A53" s="127" t="n">
        <v>5</v>
      </c>
      <c r="B53" s="128" t="inlineStr">
        <is>
          <t>Superior</t>
        </is>
      </c>
      <c r="C53" s="5" t="inlineStr">
        <is>
          <t>Pérdida superior al 50% de los clientes.</t>
        </is>
      </c>
    </row>
  </sheetData>
  <mergeCells count="7">
    <mergeCell ref="A10:C10"/>
    <mergeCell ref="A11:C11"/>
    <mergeCell ref="A47:C47"/>
    <mergeCell ref="A1:C1"/>
    <mergeCell ref="A29:C29"/>
    <mergeCell ref="A20:C20"/>
    <mergeCell ref="A38:C38"/>
  </mergeCells>
  <pageMargins left="0.75" right="0.75" top="1" bottom="1" header="0" footer="0"/>
</worksheet>
</file>

<file path=xl/worksheets/sheet7.xml><?xml version="1.0" encoding="utf-8"?>
<worksheet xmlns="http://schemas.openxmlformats.org/spreadsheetml/2006/main">
  <sheetPr codeName="Hoja5">
    <tabColor rgb="FF0070C0"/>
    <outlinePr summaryBelow="1" summaryRight="1"/>
    <pageSetUpPr/>
  </sheetPr>
  <dimension ref="A1:N40"/>
  <sheetViews>
    <sheetView zoomScale="98" zoomScaleNormal="98" workbookViewId="0">
      <pane xSplit="1" ySplit="1" topLeftCell="B4" activePane="bottomRight" state="frozen"/>
      <selection pane="bottomRight" activeCell="E10" sqref="E10"/>
      <selection pane="bottomLeft" activeCell="A2" sqref="A2"/>
      <selection pane="topRight" activeCell="B1" sqref="B1"/>
    </sheetView>
  </sheetViews>
  <sheetFormatPr baseColWidth="8" defaultColWidth="11.42578125" defaultRowHeight="12.75"/>
  <cols>
    <col width="82" customWidth="1" min="1" max="1"/>
    <col width="7.5703125" customWidth="1" style="94" min="2" max="14"/>
  </cols>
  <sheetData>
    <row r="1" ht="100.5" customHeight="1">
      <c r="A1" s="15" t="inlineStr">
        <is>
          <t>AMENAZAS/ACTIVOS</t>
        </is>
      </c>
      <c r="B1" s="93">
        <f>+Activos!A6</f>
        <v/>
      </c>
      <c r="C1" s="93">
        <f>+Activos!A7</f>
        <v/>
      </c>
      <c r="D1" s="93">
        <f>+Activos!A8</f>
        <v/>
      </c>
      <c r="E1" s="93">
        <f>+Activos!A9</f>
        <v/>
      </c>
      <c r="F1" s="93">
        <f>+Activos!A10</f>
        <v/>
      </c>
      <c r="G1" s="93">
        <f>+Activos!A11</f>
        <v/>
      </c>
      <c r="H1" s="93">
        <f>+Activos!A12</f>
        <v/>
      </c>
      <c r="I1" s="93">
        <f>+Activos!A13</f>
        <v/>
      </c>
      <c r="J1" s="93">
        <f>+Activos!A14</f>
        <v/>
      </c>
      <c r="K1" s="93">
        <f>+Activos!A15</f>
        <v/>
      </c>
      <c r="L1" s="93">
        <f>+Activos!A16</f>
        <v/>
      </c>
      <c r="M1" s="93">
        <f>+Activos!A17</f>
        <v/>
      </c>
      <c r="N1" s="93">
        <f>+Activos!A18</f>
        <v/>
      </c>
    </row>
    <row r="2" ht="15" customFormat="1" customHeight="1" s="45">
      <c r="A2" s="44">
        <f>+'Inventario Amenazas'!A2</f>
        <v/>
      </c>
      <c r="B2" s="92" t="n"/>
      <c r="C2" s="92" t="inlineStr">
        <is>
          <t>X</t>
        </is>
      </c>
      <c r="D2" s="92" t="n"/>
      <c r="E2" s="92" t="n"/>
      <c r="F2" s="92" t="n"/>
      <c r="G2" s="92" t="n"/>
      <c r="H2" s="92" t="n"/>
      <c r="I2" s="92" t="n"/>
      <c r="J2" s="92" t="n"/>
      <c r="K2" s="92" t="n"/>
      <c r="L2" s="92" t="n"/>
      <c r="M2" s="92" t="n"/>
      <c r="N2" s="92" t="n"/>
    </row>
    <row r="3" ht="15" customFormat="1" customHeight="1" s="45">
      <c r="A3" s="44">
        <f>+'Inventario Amenazas'!A3</f>
        <v/>
      </c>
      <c r="B3" s="92" t="n"/>
      <c r="C3" s="92" t="n"/>
      <c r="D3" s="92" t="n"/>
      <c r="E3" s="92" t="inlineStr">
        <is>
          <t>X</t>
        </is>
      </c>
      <c r="F3" s="92" t="n"/>
      <c r="G3" s="92" t="n"/>
      <c r="H3" s="92" t="n"/>
      <c r="I3" s="92" t="n"/>
      <c r="J3" s="92" t="n"/>
      <c r="K3" s="92" t="n"/>
      <c r="L3" s="92" t="n"/>
      <c r="M3" s="92" t="n"/>
      <c r="N3" s="92" t="n"/>
    </row>
    <row r="4" ht="15" customFormat="1" customHeight="1" s="45">
      <c r="A4" s="44">
        <f>+'Inventario Amenazas'!A4</f>
        <v/>
      </c>
      <c r="B4" s="92" t="n"/>
      <c r="C4" s="92" t="n"/>
      <c r="D4" s="92" t="n"/>
      <c r="E4" s="92" t="n"/>
      <c r="F4" s="92" t="n"/>
      <c r="G4" s="92" t="n"/>
      <c r="H4" s="92" t="inlineStr">
        <is>
          <t>X</t>
        </is>
      </c>
      <c r="I4" s="92" t="n"/>
      <c r="J4" s="92" t="n"/>
      <c r="K4" s="92" t="n"/>
      <c r="L4" s="92" t="n"/>
      <c r="M4" s="92" t="n"/>
      <c r="N4" s="92" t="n"/>
    </row>
    <row r="5" ht="15" customFormat="1" customHeight="1" s="45">
      <c r="A5" s="44">
        <f>+'Inventario Amenazas'!A5</f>
        <v/>
      </c>
      <c r="B5" s="92" t="n"/>
      <c r="C5" s="92" t="n"/>
      <c r="D5" s="92" t="n"/>
      <c r="E5" s="92" t="n"/>
      <c r="F5" s="92" t="n"/>
      <c r="G5" s="92" t="n"/>
      <c r="H5" s="92" t="n"/>
      <c r="I5" s="92" t="n"/>
      <c r="J5" s="92" t="inlineStr">
        <is>
          <t>X</t>
        </is>
      </c>
      <c r="K5" s="92" t="n"/>
      <c r="L5" s="92" t="n"/>
      <c r="M5" s="92" t="n"/>
      <c r="N5" s="92" t="n"/>
    </row>
    <row r="6" ht="15" customFormat="1" customHeight="1" s="45">
      <c r="A6" s="44">
        <f>+'Inventario Amenazas'!A6</f>
        <v/>
      </c>
      <c r="B6" s="92" t="inlineStr">
        <is>
          <t>X</t>
        </is>
      </c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</row>
    <row r="7" ht="15" customFormat="1" customHeight="1" s="45">
      <c r="A7" s="44">
        <f>+'Inventario Amenazas'!A7</f>
        <v/>
      </c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inlineStr">
        <is>
          <t>X</t>
        </is>
      </c>
      <c r="M7" s="92" t="n"/>
      <c r="N7" s="92" t="n"/>
    </row>
    <row r="8" ht="15" customFormat="1" customHeight="1" s="45">
      <c r="A8" s="44">
        <f>+'Inventario Amenazas'!A8</f>
        <v/>
      </c>
      <c r="B8" s="92" t="n"/>
      <c r="C8" s="92" t="n"/>
      <c r="D8" s="92" t="n"/>
      <c r="E8" s="92" t="inlineStr">
        <is>
          <t>X</t>
        </is>
      </c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</row>
    <row r="9" ht="15" customFormat="1" customHeight="1" s="45">
      <c r="A9" s="44">
        <f>+'Inventario Amenazas'!A9</f>
        <v/>
      </c>
      <c r="B9" s="92" t="n"/>
      <c r="C9" s="92" t="n"/>
      <c r="D9" s="92" t="n"/>
      <c r="E9" s="92" t="n"/>
      <c r="F9" s="92" t="n"/>
      <c r="G9" s="92" t="inlineStr">
        <is>
          <t>X</t>
        </is>
      </c>
      <c r="H9" s="92" t="n"/>
      <c r="I9" s="92" t="n"/>
      <c r="J9" s="92" t="n"/>
      <c r="K9" s="92" t="n"/>
      <c r="L9" s="92" t="n"/>
      <c r="M9" s="92" t="n"/>
      <c r="N9" s="92" t="inlineStr">
        <is>
          <t>X</t>
        </is>
      </c>
    </row>
    <row r="10" ht="15" customFormat="1" customHeight="1" s="45">
      <c r="A10" s="44">
        <f>+'Inventario Amenazas'!A10</f>
        <v/>
      </c>
      <c r="B10" s="92" t="n"/>
      <c r="C10" s="92" t="n"/>
      <c r="D10" s="92" t="n"/>
      <c r="E10" s="92" t="n"/>
      <c r="F10" s="92" t="n"/>
      <c r="G10" s="92" t="n"/>
      <c r="H10" s="92" t="n"/>
      <c r="I10" s="92" t="inlineStr">
        <is>
          <t>X</t>
        </is>
      </c>
      <c r="J10" s="92" t="n"/>
      <c r="K10" s="92" t="n"/>
      <c r="L10" s="92" t="n"/>
      <c r="M10" s="92" t="n"/>
      <c r="N10" s="92" t="n"/>
    </row>
    <row r="11" ht="15" customFormat="1" customHeight="1" s="45">
      <c r="A11" s="44">
        <f>+'Inventario Amenazas'!A11</f>
        <v/>
      </c>
      <c r="B11" s="92" t="n"/>
      <c r="C11" s="92" t="n"/>
      <c r="D11" s="92" t="n"/>
      <c r="E11" s="92" t="n"/>
      <c r="F11" s="92" t="inlineStr">
        <is>
          <t>X</t>
        </is>
      </c>
      <c r="G11" s="92" t="n"/>
      <c r="H11" s="92" t="n"/>
      <c r="I11" s="92" t="n"/>
      <c r="J11" s="92" t="n"/>
      <c r="K11" s="92" t="inlineStr">
        <is>
          <t>X</t>
        </is>
      </c>
      <c r="L11" s="92" t="n"/>
      <c r="M11" s="92" t="n"/>
      <c r="N11" s="92" t="n"/>
    </row>
    <row r="12" ht="15" customFormat="1" customHeight="1" s="45">
      <c r="A12" s="44">
        <f>+'Inventario Amenazas'!A12</f>
        <v/>
      </c>
      <c r="B12" s="92" t="n"/>
      <c r="C12" s="92" t="n"/>
      <c r="D12" s="92" t="inlineStr">
        <is>
          <t>X</t>
        </is>
      </c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inlineStr">
        <is>
          <t>X</t>
        </is>
      </c>
      <c r="N12" s="92" t="n"/>
    </row>
    <row r="13" ht="15" customFormat="1" customHeight="1" s="45">
      <c r="A13" s="44">
        <f>+'Inventario Amenazas'!A13</f>
        <v/>
      </c>
      <c r="B13" s="92" t="n"/>
      <c r="C13" s="92" t="n"/>
      <c r="D13" s="92" t="n"/>
      <c r="E13" s="92" t="n"/>
      <c r="F13" s="92" t="n"/>
      <c r="G13" s="92" t="n"/>
      <c r="H13" s="92" t="inlineStr">
        <is>
          <t>X</t>
        </is>
      </c>
      <c r="I13" s="92" t="n"/>
      <c r="J13" s="92" t="n"/>
      <c r="K13" s="92" t="n"/>
      <c r="L13" s="92" t="n"/>
      <c r="M13" s="92" t="n"/>
      <c r="N13" s="92" t="n"/>
    </row>
    <row r="14" ht="15" customFormat="1" customHeight="1" s="45">
      <c r="A14" s="44">
        <f>+'Inventario Amenazas'!A14</f>
        <v/>
      </c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</row>
    <row r="15" ht="15" customFormat="1" customHeight="1" s="45">
      <c r="A15" s="44">
        <f>+'Inventario Amenazas'!A15</f>
        <v/>
      </c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</row>
    <row r="16" ht="15" customFormat="1" customHeight="1" s="45">
      <c r="A16" s="44">
        <f>+'Inventario Amenazas'!A16</f>
        <v/>
      </c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</row>
    <row r="17" ht="15" customFormat="1" customHeight="1" s="45">
      <c r="A17" s="44">
        <f>+'Inventario Amenazas'!A17</f>
        <v/>
      </c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</row>
    <row r="18" ht="15" customFormat="1" customHeight="1" s="45">
      <c r="A18" s="44">
        <f>+'Inventario Amenazas'!A18</f>
        <v/>
      </c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</row>
    <row r="19" ht="15" customFormat="1" customHeight="1" s="45">
      <c r="A19" s="44">
        <f>+'Inventario Amenazas'!A19</f>
        <v/>
      </c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</row>
    <row r="20" ht="15" customFormat="1" customHeight="1" s="45">
      <c r="A20" s="44">
        <f>+'Inventario Amenazas'!A20</f>
        <v/>
      </c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</row>
    <row r="21" ht="15" customFormat="1" customHeight="1" s="45">
      <c r="A21" s="44">
        <f>+'Inventario Amenazas'!A21</f>
        <v/>
      </c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</row>
    <row r="22" ht="15" customFormat="1" customHeight="1" s="45">
      <c r="A22" s="44">
        <f>+'Inventario Amenazas'!A22</f>
        <v/>
      </c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</row>
    <row r="23" ht="15" customFormat="1" customHeight="1" s="45">
      <c r="A23" s="44">
        <f>+'Inventario Amenazas'!A23</f>
        <v/>
      </c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</row>
    <row r="24" ht="15" customFormat="1" customHeight="1" s="45">
      <c r="A24" s="44">
        <f>+'Inventario Amenazas'!A24</f>
        <v/>
      </c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</row>
    <row r="25" ht="15" customFormat="1" customHeight="1" s="45">
      <c r="A25" s="44">
        <f>+'Inventario Amenazas'!A25</f>
        <v/>
      </c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</row>
    <row r="26" ht="15" customFormat="1" customHeight="1" s="45">
      <c r="A26" s="44">
        <f>+'Inventario Amenazas'!A26</f>
        <v/>
      </c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</row>
    <row r="27" ht="15" customFormat="1" customHeight="1" s="45">
      <c r="A27" s="44">
        <f>+'Inventario Amenazas'!A27</f>
        <v/>
      </c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</row>
    <row r="28" ht="15" customFormat="1" customHeight="1" s="45">
      <c r="A28" s="44">
        <f>+'Inventario Amenazas'!A28</f>
        <v/>
      </c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</row>
    <row r="29" ht="15" customFormat="1" customHeight="1" s="45">
      <c r="A29" s="44">
        <f>+'Inventario Amenazas'!A29</f>
        <v/>
      </c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</row>
    <row r="30" ht="15" customFormat="1" customHeight="1" s="45">
      <c r="A30" s="44">
        <f>+'Inventario Amenazas'!A30</f>
        <v/>
      </c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</row>
    <row r="31" ht="15" customFormat="1" customHeight="1" s="45">
      <c r="A31" s="44">
        <f>+'Inventario Amenazas'!A31</f>
        <v/>
      </c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</row>
    <row r="32" ht="15" customFormat="1" customHeight="1" s="45">
      <c r="A32" s="44">
        <f>+'Inventario Amenazas'!A32</f>
        <v/>
      </c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</row>
    <row r="33" ht="15" customFormat="1" customHeight="1" s="45">
      <c r="A33" s="44">
        <f>+'Inventario Amenazas'!A33</f>
        <v/>
      </c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</row>
    <row r="34" ht="15" customFormat="1" customHeight="1" s="45">
      <c r="A34" s="44">
        <f>+'Inventario Amenazas'!A34</f>
        <v/>
      </c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</row>
    <row r="35" ht="15" customFormat="1" customHeight="1" s="45">
      <c r="A35" s="44">
        <f>+'Inventario Amenazas'!A35</f>
        <v/>
      </c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</row>
    <row r="36" ht="15" customFormat="1" customHeight="1" s="45">
      <c r="A36" s="44">
        <f>+'Inventario Amenazas'!A36</f>
        <v/>
      </c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</row>
    <row r="37" ht="15" customFormat="1" customHeight="1" s="45">
      <c r="A37" s="44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</row>
    <row r="38" ht="15" customFormat="1" customHeight="1" s="45">
      <c r="A38" s="44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</row>
    <row r="39" ht="15" customFormat="1" customHeight="1" s="45">
      <c r="A39" s="44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</row>
    <row r="40" ht="15" customFormat="1" customHeight="1" s="45">
      <c r="A40" s="44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</row>
  </sheetData>
  <pageMargins left="0.75" right="0.75" top="1" bottom="1" header="0" footer="0"/>
  <pageSetup orientation="landscape"/>
</worksheet>
</file>

<file path=xl/worksheets/sheet8.xml><?xml version="1.0" encoding="utf-8"?>
<worksheet xmlns="http://schemas.openxmlformats.org/spreadsheetml/2006/main">
  <sheetPr codeName="Hoja6">
    <tabColor rgb="FF0070C0"/>
    <outlinePr summaryBelow="1" summaryRight="1"/>
    <pageSetUpPr/>
  </sheetPr>
  <dimension ref="A1:B214"/>
  <sheetViews>
    <sheetView zoomScale="85" zoomScaleNormal="85" workbookViewId="0">
      <pane xSplit="1" ySplit="2" topLeftCell="B3" activePane="bottomRight" state="frozen"/>
      <selection pane="bottomRight" activeCell="A3" sqref="A3"/>
      <selection pane="bottomLeft" activeCell="A3" sqref="A3"/>
      <selection pane="topRight" activeCell="B1" sqref="B1"/>
    </sheetView>
  </sheetViews>
  <sheetFormatPr baseColWidth="8" defaultColWidth="11.42578125" defaultRowHeight="12.75"/>
  <cols>
    <col width="87.7109375" customWidth="1" min="1" max="1"/>
  </cols>
  <sheetData>
    <row r="1" ht="57.75" customHeight="1" thickBot="1">
      <c r="A1" s="69" t="n"/>
    </row>
    <row r="2" ht="21" customHeight="1">
      <c r="A2" s="132" t="inlineStr">
        <is>
          <t>Escenario del riesgos</t>
        </is>
      </c>
    </row>
    <row r="3">
      <c r="A3" s="1" t="inlineStr">
        <is>
          <t>Amenaza 1  --  Activo 2</t>
        </is>
      </c>
    </row>
    <row r="4">
      <c r="A4" s="1" t="inlineStr">
        <is>
          <t>Amenaza 2  --  Activo 4</t>
        </is>
      </c>
    </row>
    <row r="5">
      <c r="A5" s="1" t="inlineStr">
        <is>
          <t>Amenaza 3  --  Activo 7</t>
        </is>
      </c>
    </row>
    <row r="6">
      <c r="A6" s="1" t="inlineStr">
        <is>
          <t>Amenaza 4  --  Activo 9</t>
        </is>
      </c>
    </row>
    <row r="7">
      <c r="A7" s="1" t="inlineStr">
        <is>
          <t>Amenaza 5  --  Activo 1</t>
        </is>
      </c>
    </row>
    <row r="8">
      <c r="A8" s="1" t="inlineStr">
        <is>
          <t>Amenaza 6  --  Activo 11</t>
        </is>
      </c>
    </row>
    <row r="9">
      <c r="A9" s="1" t="inlineStr">
        <is>
          <t>Amenaza 7  --  Activo 4</t>
        </is>
      </c>
    </row>
    <row r="10">
      <c r="A10" s="1" t="inlineStr">
        <is>
          <t>Amenaza 8  --  Activo 6</t>
        </is>
      </c>
    </row>
    <row r="11">
      <c r="A11" s="1" t="inlineStr">
        <is>
          <t>Amenaza 8  --  Activo 13</t>
        </is>
      </c>
    </row>
    <row r="12">
      <c r="A12" s="1" t="inlineStr">
        <is>
          <t>Amenaza 9  --  Activo 8</t>
        </is>
      </c>
    </row>
    <row r="13">
      <c r="A13" s="1" t="inlineStr">
        <is>
          <t>Amenaza 10  --  Activo 5</t>
        </is>
      </c>
    </row>
    <row r="14">
      <c r="A14" s="1" t="inlineStr">
        <is>
          <t>Amenaza 10  --  Activo 10</t>
        </is>
      </c>
    </row>
    <row r="15">
      <c r="A15" s="1" t="inlineStr">
        <is>
          <t>Amenaza 11  --  Activo 3</t>
        </is>
      </c>
    </row>
    <row r="16">
      <c r="A16" s="1" t="inlineStr">
        <is>
          <t>Amenaza 11  --  Activo 12</t>
        </is>
      </c>
    </row>
    <row r="17">
      <c r="A17" s="1" t="inlineStr">
        <is>
          <t>Amenaza 12  --  Activo 7</t>
        </is>
      </c>
    </row>
    <row r="18">
      <c r="A18" s="1" t="n"/>
    </row>
    <row r="19">
      <c r="A19" s="1" t="n"/>
    </row>
    <row r="20">
      <c r="A20" s="1" t="n"/>
    </row>
    <row r="21">
      <c r="A21" s="1" t="n"/>
    </row>
    <row r="22">
      <c r="A22" s="1" t="n"/>
    </row>
    <row r="23">
      <c r="A23" s="1" t="n"/>
    </row>
    <row r="24">
      <c r="A24" s="1" t="n"/>
    </row>
    <row r="25">
      <c r="A25" s="1" t="n"/>
    </row>
    <row r="26">
      <c r="A26" s="1" t="n"/>
    </row>
    <row r="27">
      <c r="A27" s="1" t="n"/>
    </row>
    <row r="28">
      <c r="A28" s="1" t="n"/>
    </row>
    <row r="29">
      <c r="A29" s="1" t="n"/>
    </row>
    <row r="30">
      <c r="A30" s="1" t="n"/>
    </row>
    <row r="31">
      <c r="A31" s="1" t="n"/>
    </row>
    <row r="32">
      <c r="A32" s="1" t="n"/>
    </row>
    <row r="33">
      <c r="A33" s="1" t="n"/>
    </row>
    <row r="34">
      <c r="A34" s="1" t="n"/>
    </row>
    <row r="35">
      <c r="A35" s="1" t="n"/>
    </row>
    <row r="36">
      <c r="A36" s="1" t="n"/>
    </row>
    <row r="37">
      <c r="A37" s="1" t="n"/>
    </row>
    <row r="38">
      <c r="A38" s="1" t="n"/>
    </row>
    <row r="39">
      <c r="A39" s="1" t="n"/>
    </row>
    <row r="40">
      <c r="A40" s="1" t="n"/>
    </row>
    <row r="41">
      <c r="A41" s="1" t="n"/>
    </row>
    <row r="42">
      <c r="A42" s="1" t="n"/>
    </row>
    <row r="43">
      <c r="A43" s="1" t="n"/>
    </row>
    <row r="44">
      <c r="A44" s="1" t="n"/>
    </row>
    <row r="45" ht="56.25" customHeight="1">
      <c r="A45" s="1" t="n"/>
    </row>
    <row r="46" ht="89.25" customHeight="1">
      <c r="A46" s="1" t="n"/>
    </row>
    <row r="47">
      <c r="A47" s="1" t="n"/>
    </row>
    <row r="48">
      <c r="A48" s="1" t="n"/>
    </row>
    <row r="49">
      <c r="A49" s="1" t="n"/>
    </row>
    <row r="50">
      <c r="A50" s="1" t="n"/>
    </row>
    <row r="51">
      <c r="A51" s="1" t="n"/>
    </row>
    <row r="52">
      <c r="A52" s="1" t="n"/>
    </row>
    <row r="53">
      <c r="A53" s="1" t="n"/>
    </row>
    <row r="54">
      <c r="A54" s="1" t="n"/>
    </row>
    <row r="55" ht="66.75" customHeight="1">
      <c r="A55" s="1" t="n"/>
      <c r="B55" s="46" t="n"/>
    </row>
    <row r="56">
      <c r="A56" s="1" t="n"/>
      <c r="B56" s="47" t="n"/>
    </row>
    <row r="57">
      <c r="A57" s="1" t="n"/>
      <c r="B57" s="47" t="n"/>
    </row>
    <row r="58">
      <c r="A58" s="1" t="n"/>
      <c r="B58" s="47" t="n"/>
    </row>
    <row r="59">
      <c r="A59" s="1" t="n"/>
      <c r="B59" s="47" t="n"/>
    </row>
    <row r="60">
      <c r="A60" s="1" t="n"/>
      <c r="B60" s="47" t="n"/>
    </row>
    <row r="61">
      <c r="A61" s="1" t="n"/>
      <c r="B61" s="47" t="n"/>
    </row>
    <row r="62">
      <c r="A62" s="1" t="n"/>
      <c r="B62" s="47" t="n"/>
    </row>
    <row r="63">
      <c r="A63" s="1" t="n"/>
      <c r="B63" s="47" t="n"/>
    </row>
    <row r="64">
      <c r="A64" s="1" t="n"/>
      <c r="B64" s="47" t="n"/>
    </row>
    <row r="65">
      <c r="A65" s="1" t="n"/>
      <c r="B65" s="47" t="n"/>
    </row>
    <row r="66">
      <c r="A66" s="1" t="n"/>
      <c r="B66" s="47" t="n"/>
    </row>
    <row r="67">
      <c r="A67" s="1" t="n"/>
      <c r="B67" s="47" t="n"/>
    </row>
    <row r="68">
      <c r="A68" s="1" t="n"/>
      <c r="B68" s="47" t="n"/>
    </row>
    <row r="69">
      <c r="A69" s="1" t="n"/>
      <c r="B69" s="47" t="n"/>
    </row>
    <row r="70">
      <c r="A70" s="1" t="n"/>
      <c r="B70" s="47" t="n"/>
    </row>
    <row r="71">
      <c r="A71" s="1" t="n"/>
      <c r="B71" s="47" t="n"/>
    </row>
    <row r="72">
      <c r="A72" s="1" t="n"/>
      <c r="B72" s="47" t="n"/>
    </row>
    <row r="73">
      <c r="A73" s="1" t="n"/>
      <c r="B73" s="47" t="n"/>
    </row>
    <row r="74">
      <c r="A74" s="1" t="n"/>
      <c r="B74" s="47" t="n"/>
    </row>
    <row r="75">
      <c r="A75" s="1" t="n"/>
      <c r="B75" s="47" t="n"/>
    </row>
    <row r="76">
      <c r="A76" s="1" t="n"/>
      <c r="B76" s="47" t="n"/>
    </row>
    <row r="77">
      <c r="A77" s="1" t="n"/>
      <c r="B77" s="47" t="n"/>
    </row>
    <row r="78">
      <c r="A78" s="1" t="n"/>
      <c r="B78" s="47" t="n"/>
    </row>
    <row r="79">
      <c r="A79" s="1" t="n"/>
      <c r="B79" s="47" t="n"/>
    </row>
    <row r="80">
      <c r="A80" s="1" t="n"/>
      <c r="B80" s="47" t="n"/>
    </row>
    <row r="81">
      <c r="A81" s="1" t="n"/>
      <c r="B81" s="47" t="n"/>
    </row>
    <row r="82">
      <c r="A82" s="1" t="n"/>
      <c r="B82" s="47" t="n"/>
    </row>
    <row r="83">
      <c r="A83" s="1" t="n"/>
      <c r="B83" s="47" t="n"/>
    </row>
    <row r="84">
      <c r="A84" s="1" t="n"/>
      <c r="B84" s="47" t="n"/>
    </row>
    <row r="85">
      <c r="A85" s="1" t="n"/>
      <c r="B85" s="47" t="n"/>
    </row>
    <row r="86">
      <c r="A86" s="1" t="n"/>
      <c r="B86" s="47" t="n"/>
    </row>
    <row r="87">
      <c r="A87" s="1" t="n"/>
      <c r="B87" s="47" t="n"/>
    </row>
    <row r="88">
      <c r="A88" s="1" t="n"/>
      <c r="B88" s="47" t="n"/>
    </row>
    <row r="89">
      <c r="A89" s="1" t="n"/>
      <c r="B89" s="47" t="n"/>
    </row>
    <row r="90">
      <c r="A90" s="1" t="n"/>
      <c r="B90" s="47" t="n"/>
    </row>
    <row r="91">
      <c r="A91" s="1" t="n"/>
      <c r="B91" s="47" t="n"/>
    </row>
    <row r="92">
      <c r="A92" s="1" t="n"/>
      <c r="B92" s="47" t="n"/>
    </row>
    <row r="93">
      <c r="A93" s="1" t="n"/>
      <c r="B93" s="47" t="n"/>
    </row>
    <row r="94">
      <c r="A94" s="1" t="n"/>
      <c r="B94" s="47" t="n"/>
    </row>
    <row r="95">
      <c r="A95" s="1" t="n"/>
      <c r="B95" s="47" t="n"/>
    </row>
    <row r="96">
      <c r="A96" s="1" t="n"/>
      <c r="B96" s="47" t="n"/>
    </row>
    <row r="97">
      <c r="A97" s="1" t="n"/>
      <c r="B97" s="47" t="n"/>
    </row>
    <row r="98">
      <c r="A98" s="1" t="n"/>
      <c r="B98" s="47" t="n"/>
    </row>
    <row r="99">
      <c r="A99" s="1" t="n"/>
      <c r="B99" s="47" t="n"/>
    </row>
    <row r="100">
      <c r="A100" s="1" t="n"/>
      <c r="B100" s="47" t="n"/>
    </row>
    <row r="101">
      <c r="A101" s="1" t="n"/>
      <c r="B101" s="47" t="n"/>
    </row>
    <row r="102">
      <c r="A102" s="1" t="n"/>
      <c r="B102" s="47" t="n"/>
    </row>
    <row r="103">
      <c r="A103" s="1" t="n"/>
      <c r="B103" s="47" t="n"/>
    </row>
    <row r="104">
      <c r="A104" s="1" t="n"/>
      <c r="B104" s="47" t="n"/>
    </row>
    <row r="105">
      <c r="A105" s="1" t="n"/>
      <c r="B105" s="47" t="n"/>
    </row>
    <row r="106">
      <c r="A106" s="1" t="n"/>
      <c r="B106" s="47" t="n"/>
    </row>
    <row r="107">
      <c r="A107" s="1" t="n"/>
      <c r="B107" s="47" t="n"/>
    </row>
    <row r="108">
      <c r="A108" s="1" t="n"/>
      <c r="B108" s="47" t="n"/>
    </row>
    <row r="109">
      <c r="A109" s="1" t="n"/>
      <c r="B109" s="46" t="n"/>
    </row>
    <row r="110">
      <c r="A110" s="1" t="n"/>
    </row>
    <row r="111">
      <c r="A111" s="1" t="n"/>
    </row>
    <row r="112">
      <c r="A112" s="1" t="n"/>
    </row>
    <row r="113">
      <c r="A113" s="1" t="n"/>
    </row>
    <row r="114">
      <c r="A114" s="1" t="n"/>
    </row>
    <row r="115">
      <c r="A115" s="1" t="n"/>
    </row>
    <row r="116">
      <c r="A116" s="1" t="n"/>
    </row>
    <row r="117">
      <c r="A117" s="1" t="n"/>
    </row>
    <row r="118">
      <c r="A118" s="1" t="n"/>
    </row>
    <row r="119">
      <c r="A119" s="1" t="n"/>
    </row>
    <row r="120">
      <c r="A120" s="1" t="n"/>
    </row>
    <row r="121">
      <c r="A121" s="1" t="n"/>
    </row>
    <row r="122">
      <c r="A122" s="1" t="n"/>
    </row>
    <row r="123">
      <c r="A123" s="1" t="n"/>
    </row>
    <row r="124">
      <c r="A124" s="1" t="n"/>
    </row>
    <row r="125">
      <c r="A125" s="1" t="n"/>
    </row>
    <row r="126">
      <c r="A126" s="1" t="n"/>
    </row>
    <row r="127">
      <c r="A127" s="1" t="n"/>
    </row>
    <row r="128">
      <c r="A128" s="1" t="n"/>
    </row>
    <row r="129">
      <c r="A129" s="1" t="n"/>
    </row>
    <row r="130">
      <c r="A130" s="1" t="n"/>
    </row>
    <row r="131">
      <c r="A131" s="1" t="n"/>
    </row>
    <row r="132">
      <c r="A132" s="1" t="n"/>
    </row>
    <row r="133">
      <c r="A133" s="1" t="n"/>
    </row>
    <row r="134">
      <c r="A134" s="1" t="n"/>
    </row>
    <row r="135">
      <c r="A135" s="1" t="n"/>
    </row>
    <row r="136">
      <c r="A136" s="1" t="n"/>
    </row>
    <row r="137">
      <c r="A137" s="1" t="n"/>
    </row>
    <row r="138">
      <c r="A138" s="1" t="n"/>
    </row>
    <row r="139">
      <c r="A139" s="1" t="n"/>
    </row>
    <row r="140">
      <c r="A140" s="1" t="n"/>
    </row>
    <row r="141">
      <c r="A141" s="1" t="n"/>
    </row>
    <row r="142">
      <c r="A142" s="1" t="n"/>
    </row>
    <row r="143">
      <c r="A143" s="1" t="n"/>
    </row>
    <row r="144">
      <c r="A144" s="1" t="n"/>
    </row>
    <row r="145">
      <c r="A145" s="1" t="n"/>
    </row>
    <row r="146">
      <c r="A146" s="1" t="n"/>
    </row>
    <row r="147">
      <c r="A147" s="1" t="n"/>
    </row>
    <row r="148">
      <c r="A148" s="1" t="n"/>
    </row>
    <row r="149">
      <c r="A149" s="1" t="n"/>
    </row>
    <row r="150">
      <c r="A150" s="1" t="n"/>
    </row>
    <row r="151">
      <c r="A151" s="1" t="n"/>
    </row>
    <row r="152">
      <c r="A152" s="1" t="n"/>
    </row>
    <row r="153">
      <c r="A153" s="1" t="n"/>
    </row>
    <row r="154">
      <c r="A154" s="1" t="n"/>
    </row>
    <row r="155">
      <c r="A155" s="1" t="n"/>
    </row>
    <row r="156">
      <c r="A156" s="1" t="n"/>
    </row>
    <row r="157">
      <c r="A157" s="1" t="n"/>
    </row>
    <row r="158">
      <c r="A158" s="1" t="n"/>
    </row>
    <row r="159">
      <c r="A159" s="1" t="n"/>
    </row>
    <row r="160">
      <c r="A160" s="1" t="n"/>
    </row>
    <row r="161">
      <c r="A161" s="1" t="n"/>
    </row>
    <row r="162">
      <c r="A162" s="1" t="n"/>
    </row>
    <row r="163">
      <c r="A163" s="1" t="n"/>
    </row>
    <row r="164">
      <c r="A164" s="1" t="n"/>
    </row>
    <row r="165">
      <c r="A165" s="1" t="n"/>
    </row>
    <row r="166">
      <c r="A166" s="1" t="n"/>
    </row>
    <row r="167">
      <c r="A167" s="1" t="n"/>
    </row>
    <row r="168">
      <c r="A168" s="1" t="n"/>
    </row>
    <row r="169">
      <c r="A169" s="1" t="n"/>
    </row>
    <row r="170">
      <c r="A170" s="1" t="n"/>
    </row>
    <row r="171">
      <c r="A171" s="1" t="n"/>
    </row>
    <row r="172">
      <c r="A172" s="1" t="n"/>
    </row>
    <row r="173">
      <c r="A173" s="1" t="n"/>
    </row>
    <row r="174">
      <c r="A174" s="1" t="n"/>
    </row>
    <row r="175">
      <c r="A175" s="1" t="n"/>
    </row>
    <row r="176">
      <c r="A176" s="1" t="n"/>
    </row>
    <row r="177">
      <c r="A177" s="1" t="n"/>
    </row>
    <row r="178">
      <c r="A178" s="1" t="n"/>
    </row>
    <row r="179">
      <c r="A179" s="1" t="n"/>
    </row>
    <row r="180">
      <c r="A180" s="1" t="n"/>
    </row>
    <row r="181">
      <c r="A181" s="1" t="n"/>
    </row>
    <row r="182">
      <c r="A182" s="1" t="n"/>
    </row>
    <row r="183">
      <c r="A183" s="1" t="n"/>
    </row>
    <row r="184">
      <c r="A184" s="1" t="n"/>
    </row>
    <row r="185">
      <c r="A185" s="1" t="n"/>
    </row>
    <row r="186">
      <c r="A186" s="1" t="n"/>
    </row>
    <row r="187">
      <c r="A187" s="1" t="n"/>
    </row>
    <row r="188">
      <c r="A188" s="1" t="n"/>
    </row>
    <row r="189">
      <c r="A189" s="1" t="n"/>
    </row>
    <row r="190">
      <c r="A190" s="1" t="n"/>
    </row>
    <row r="191">
      <c r="A191" s="1" t="n"/>
    </row>
    <row r="192">
      <c r="A192" s="1" t="n"/>
    </row>
    <row r="193">
      <c r="A193" s="1" t="n"/>
    </row>
    <row r="194">
      <c r="A194" s="1" t="n"/>
    </row>
    <row r="195">
      <c r="A195" s="1" t="n"/>
    </row>
    <row r="196">
      <c r="A196" s="1" t="n"/>
    </row>
    <row r="197">
      <c r="A197" s="1" t="n"/>
    </row>
    <row r="198">
      <c r="A198" s="1" t="n"/>
    </row>
    <row r="199">
      <c r="A199" s="1" t="n"/>
    </row>
    <row r="200">
      <c r="A200" s="1" t="n"/>
    </row>
    <row r="201">
      <c r="A201" s="1" t="n"/>
    </row>
    <row r="202">
      <c r="A202" s="1" t="n"/>
    </row>
    <row r="203">
      <c r="A203" s="1" t="n"/>
    </row>
    <row r="204">
      <c r="A204" s="1" t="n"/>
    </row>
    <row r="205">
      <c r="A205" s="1" t="n"/>
    </row>
    <row r="206">
      <c r="A206" s="1" t="n"/>
    </row>
    <row r="207">
      <c r="A207" s="1" t="n"/>
    </row>
    <row r="208">
      <c r="A208" s="1" t="n"/>
    </row>
    <row r="209">
      <c r="A209" s="1" t="n"/>
    </row>
    <row r="210">
      <c r="A210" s="1" t="n"/>
    </row>
    <row r="211">
      <c r="A211" s="1" t="n"/>
    </row>
    <row r="212">
      <c r="A212" s="1" t="n"/>
    </row>
    <row r="213">
      <c r="A213" s="1" t="n"/>
    </row>
    <row r="214">
      <c r="A214" s="1" t="n"/>
    </row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Hoja7">
    <tabColor rgb="FF00B050"/>
    <outlinePr summaryBelow="1" summaryRight="1"/>
    <pageSetUpPr/>
  </sheetPr>
  <dimension ref="A1:J267"/>
  <sheetViews>
    <sheetView zoomScale="70" zoomScaleNormal="70" workbookViewId="0">
      <selection activeCell="G1" sqref="G1:H1048576"/>
    </sheetView>
  </sheetViews>
  <sheetFormatPr baseColWidth="8" defaultColWidth="11.42578125" defaultRowHeight="12.75"/>
  <cols>
    <col width="54.7109375" customWidth="1" min="1" max="1"/>
    <col width="18.7109375" customWidth="1" min="2" max="2"/>
    <col width="14.140625" customWidth="1" style="65" min="3" max="3"/>
    <col width="20.42578125" customWidth="1" min="4" max="4"/>
    <col width="32.7109375" customWidth="1" style="65" min="5" max="5"/>
    <col width="28" customWidth="1" min="6" max="6"/>
    <col width="43.7109375" customWidth="1" min="7" max="7"/>
    <col width="32.140625" customWidth="1" min="8" max="8"/>
    <col width="39.28515625" customWidth="1" min="9" max="9"/>
    <col width="46.140625" bestFit="1" customWidth="1" min="10" max="10"/>
  </cols>
  <sheetData>
    <row r="1" ht="37.5" customHeight="1">
      <c r="A1" s="163" t="inlineStr">
        <is>
          <t>Calificación sin Controles</t>
        </is>
      </c>
      <c r="B1" s="214" t="n"/>
      <c r="C1" s="214" t="n"/>
      <c r="D1" s="214" t="n"/>
      <c r="E1" s="214" t="n"/>
      <c r="F1" s="35" t="n"/>
    </row>
    <row r="2" ht="34.5" customHeight="1">
      <c r="A2" s="48" t="inlineStr">
        <is>
          <t>ESCENARIO</t>
        </is>
      </c>
      <c r="B2" s="224" t="inlineStr">
        <is>
          <t>PROBABILIDAD</t>
        </is>
      </c>
      <c r="C2" s="195" t="n"/>
      <c r="D2" s="224" t="inlineStr">
        <is>
          <t>IMPACTO OPERACIÓN</t>
        </is>
      </c>
      <c r="E2" s="195" t="n"/>
      <c r="F2" s="49" t="inlineStr">
        <is>
          <t>Riesgo P*Impacto Cliente Mercado</t>
        </is>
      </c>
      <c r="G2" s="66" t="inlineStr">
        <is>
          <t>IMPACTO INFORMACIÓN</t>
        </is>
      </c>
      <c r="H2" s="66" t="inlineStr">
        <is>
          <t>IMPACTO IMAGEN</t>
        </is>
      </c>
      <c r="I2" s="66" t="inlineStr">
        <is>
          <t>IMPACTO FINANCIERO</t>
        </is>
      </c>
      <c r="J2" s="66" t="inlineStr">
        <is>
          <t>IMPACTO CLIENTE/MERCADO</t>
        </is>
      </c>
    </row>
    <row r="3" ht="18" customHeight="1">
      <c r="A3" s="1" t="n"/>
      <c r="B3" s="2" t="n"/>
      <c r="C3" s="54" t="n"/>
      <c r="D3" s="1" t="n"/>
      <c r="E3" s="54" t="n"/>
      <c r="F3" s="37" t="n"/>
      <c r="G3" s="67" t="n"/>
      <c r="H3" s="67" t="n"/>
      <c r="I3" s="67" t="n"/>
      <c r="J3" s="67" t="n"/>
    </row>
    <row r="4" ht="18" customHeight="1">
      <c r="A4" s="1" t="n"/>
      <c r="B4" s="2" t="n"/>
      <c r="C4" s="54" t="n"/>
      <c r="D4" s="1" t="n"/>
      <c r="E4" s="54" t="n"/>
      <c r="F4" s="37" t="n"/>
      <c r="G4" s="67" t="n"/>
      <c r="H4" s="67" t="n"/>
      <c r="I4" s="67" t="n"/>
      <c r="J4" s="67" t="n"/>
    </row>
    <row r="5" ht="18" customHeight="1">
      <c r="A5" s="1" t="n"/>
      <c r="B5" s="2" t="n"/>
      <c r="C5" s="54" t="n"/>
      <c r="D5" s="1" t="n"/>
      <c r="E5" s="54" t="n"/>
      <c r="F5" s="37" t="n"/>
      <c r="G5" s="67" t="n"/>
      <c r="H5" s="67" t="n"/>
      <c r="I5" s="67" t="n"/>
      <c r="J5" s="67" t="n"/>
    </row>
    <row r="6" ht="18" customHeight="1">
      <c r="A6" s="1" t="n"/>
      <c r="B6" s="2" t="n"/>
      <c r="C6" s="54" t="n"/>
      <c r="D6" s="1" t="n"/>
      <c r="E6" s="54" t="n"/>
      <c r="F6" s="37" t="n"/>
      <c r="G6" s="67" t="n"/>
      <c r="H6" s="67" t="n"/>
      <c r="I6" s="67" t="n"/>
      <c r="J6" s="67" t="n"/>
    </row>
    <row r="7" ht="18" customHeight="1">
      <c r="A7" s="1" t="n"/>
      <c r="B7" s="2" t="n"/>
      <c r="C7" s="54" t="n"/>
      <c r="D7" s="1" t="n"/>
      <c r="E7" s="54" t="n"/>
      <c r="F7" s="37" t="n"/>
      <c r="G7" s="67" t="n"/>
      <c r="H7" s="67" t="n"/>
      <c r="I7" s="67" t="n"/>
      <c r="J7" s="67" t="n"/>
    </row>
    <row r="8" ht="18" customHeight="1">
      <c r="A8" s="1" t="n"/>
      <c r="B8" s="2" t="n"/>
      <c r="C8" s="54" t="n"/>
      <c r="D8" s="1" t="n"/>
      <c r="E8" s="54" t="n"/>
      <c r="F8" s="37" t="n"/>
      <c r="G8" s="67" t="n"/>
      <c r="H8" s="67" t="n"/>
      <c r="I8" s="67" t="n"/>
      <c r="J8" s="67" t="n"/>
    </row>
    <row r="9" ht="18" customHeight="1">
      <c r="A9" s="1" t="n"/>
      <c r="B9" s="2" t="n"/>
      <c r="C9" s="54" t="n"/>
      <c r="D9" s="1" t="n"/>
      <c r="E9" s="54" t="n"/>
      <c r="F9" s="37" t="n"/>
      <c r="G9" s="67" t="n"/>
      <c r="H9" s="67" t="n"/>
      <c r="I9" s="67" t="n"/>
      <c r="J9" s="67" t="n"/>
    </row>
    <row r="10" ht="18" customHeight="1">
      <c r="A10" s="1" t="n"/>
      <c r="B10" s="2" t="n"/>
      <c r="C10" s="54" t="n"/>
      <c r="D10" s="1" t="n"/>
      <c r="E10" s="54" t="n"/>
      <c r="F10" s="37" t="n"/>
      <c r="G10" s="67" t="n"/>
      <c r="H10" s="67" t="n"/>
      <c r="I10" s="67" t="n"/>
      <c r="J10" s="67" t="n"/>
    </row>
    <row r="11" ht="18" customHeight="1">
      <c r="A11" s="1" t="n"/>
      <c r="B11" s="2" t="n"/>
      <c r="C11" s="54" t="n"/>
      <c r="D11" s="1" t="n"/>
      <c r="E11" s="54" t="n"/>
      <c r="F11" s="37" t="n"/>
      <c r="G11" s="67" t="n"/>
      <c r="H11" s="67" t="n"/>
      <c r="I11" s="67" t="n"/>
      <c r="J11" s="67" t="n"/>
    </row>
    <row r="12" ht="18" customHeight="1">
      <c r="A12" s="1" t="n"/>
      <c r="B12" s="2" t="n"/>
      <c r="C12" s="54" t="n"/>
      <c r="D12" s="1" t="n"/>
      <c r="E12" s="54" t="n"/>
      <c r="F12" s="37" t="n"/>
      <c r="G12" s="67" t="n"/>
      <c r="H12" s="67" t="n"/>
      <c r="I12" s="67" t="n"/>
      <c r="J12" s="67" t="n"/>
    </row>
    <row r="13" ht="18" customHeight="1">
      <c r="A13" s="1" t="n"/>
      <c r="B13" s="2" t="n"/>
      <c r="C13" s="54" t="n"/>
      <c r="D13" s="1" t="n"/>
      <c r="E13" s="54" t="n"/>
      <c r="F13" s="37" t="n"/>
      <c r="G13" s="67" t="n"/>
      <c r="H13" s="67" t="n"/>
      <c r="I13" s="67" t="n"/>
      <c r="J13" s="67" t="n"/>
    </row>
    <row r="14" ht="18" customHeight="1">
      <c r="A14" s="1" t="n"/>
      <c r="B14" s="2" t="n"/>
      <c r="C14" s="54" t="n"/>
      <c r="D14" s="1" t="n"/>
      <c r="E14" s="54" t="n"/>
      <c r="F14" s="37" t="n"/>
      <c r="G14" s="67" t="n"/>
      <c r="H14" s="67" t="n"/>
      <c r="I14" s="67" t="n"/>
      <c r="J14" s="67" t="n"/>
    </row>
    <row r="15" ht="18" customHeight="1">
      <c r="A15" s="1" t="n"/>
      <c r="B15" s="2" t="n"/>
      <c r="C15" s="54" t="n"/>
      <c r="D15" s="1" t="n"/>
      <c r="E15" s="54" t="n"/>
      <c r="F15" s="37" t="n"/>
      <c r="G15" s="67" t="n"/>
      <c r="H15" s="67" t="n"/>
      <c r="I15" s="67" t="n"/>
      <c r="J15" s="67" t="n"/>
    </row>
    <row r="16" ht="18" customHeight="1">
      <c r="A16" s="1" t="n"/>
      <c r="B16" s="2" t="n"/>
      <c r="C16" s="54" t="n"/>
      <c r="D16" s="1" t="n"/>
      <c r="E16" s="54" t="n"/>
      <c r="F16" s="37" t="n"/>
      <c r="G16" s="67" t="n"/>
      <c r="H16" s="67" t="n"/>
      <c r="I16" s="67" t="n"/>
      <c r="J16" s="67" t="n"/>
    </row>
    <row r="17" ht="18" customHeight="1">
      <c r="A17" s="1" t="n"/>
      <c r="B17" s="2" t="n"/>
      <c r="C17" s="54" t="n"/>
      <c r="D17" s="1" t="n"/>
      <c r="E17" s="54" t="n"/>
      <c r="F17" s="37" t="n"/>
      <c r="G17" s="67" t="n"/>
      <c r="H17" s="67" t="n"/>
      <c r="I17" s="67" t="n"/>
      <c r="J17" s="67" t="n"/>
    </row>
    <row r="18" ht="18" customHeight="1">
      <c r="A18" s="50" t="n"/>
      <c r="B18" s="2" t="n"/>
      <c r="C18" s="54" t="n"/>
      <c r="D18" s="1" t="n"/>
      <c r="E18" s="54" t="n"/>
      <c r="F18" s="37" t="n"/>
      <c r="G18" s="67" t="n"/>
      <c r="H18" s="67" t="n"/>
      <c r="I18" s="67" t="n"/>
      <c r="J18" s="67" t="n"/>
    </row>
    <row r="19" ht="18" customHeight="1">
      <c r="A19" s="50" t="n"/>
      <c r="B19" s="2" t="n"/>
      <c r="C19" s="54" t="n"/>
      <c r="D19" s="1" t="n"/>
      <c r="E19" s="54" t="n"/>
      <c r="F19" s="37" t="n"/>
      <c r="G19" s="67" t="n"/>
      <c r="H19" s="67" t="n"/>
      <c r="I19" s="67" t="n"/>
      <c r="J19" s="67" t="n"/>
    </row>
    <row r="20" ht="18" customHeight="1">
      <c r="A20" s="50" t="n"/>
      <c r="B20" s="2" t="n"/>
      <c r="C20" s="54" t="n"/>
      <c r="D20" s="1" t="n"/>
      <c r="E20" s="54" t="n"/>
      <c r="F20" s="37" t="n"/>
      <c r="G20" s="67" t="n"/>
      <c r="H20" s="67" t="n"/>
      <c r="I20" s="67" t="n"/>
      <c r="J20" s="67" t="n"/>
    </row>
    <row r="21" ht="18" customHeight="1">
      <c r="A21" s="50" t="n"/>
      <c r="B21" s="2" t="n"/>
      <c r="C21" s="54" t="n"/>
      <c r="D21" s="1" t="n"/>
      <c r="E21" s="54" t="n"/>
      <c r="F21" s="37" t="n"/>
      <c r="G21" s="67" t="n"/>
      <c r="H21" s="67" t="n"/>
      <c r="I21" s="67" t="n"/>
      <c r="J21" s="67" t="n"/>
    </row>
    <row r="22" ht="18" customHeight="1">
      <c r="A22" s="50" t="n"/>
      <c r="B22" s="2" t="n"/>
      <c r="C22" s="54" t="n"/>
      <c r="D22" s="1" t="n"/>
      <c r="E22" s="54" t="n"/>
      <c r="F22" s="37" t="n"/>
      <c r="G22" s="67" t="n"/>
      <c r="H22" s="67" t="n"/>
      <c r="I22" s="67" t="n"/>
      <c r="J22" s="67" t="n"/>
    </row>
    <row r="23" ht="18" customHeight="1">
      <c r="A23" s="50" t="n"/>
      <c r="B23" s="2" t="n"/>
      <c r="C23" s="54" t="n"/>
      <c r="D23" s="1" t="n"/>
      <c r="E23" s="54" t="n"/>
      <c r="F23" s="37" t="n"/>
      <c r="G23" s="67" t="n"/>
      <c r="H23" s="67" t="n"/>
      <c r="I23" s="67" t="n"/>
      <c r="J23" s="67" t="n"/>
    </row>
    <row r="24" ht="18" customHeight="1">
      <c r="A24" s="50" t="n"/>
      <c r="B24" s="2" t="n"/>
      <c r="C24" s="54" t="n"/>
      <c r="D24" s="1" t="n"/>
      <c r="E24" s="54" t="n"/>
      <c r="F24" s="37" t="n"/>
      <c r="G24" s="67" t="n"/>
      <c r="H24" s="67" t="n"/>
      <c r="I24" s="67" t="n"/>
      <c r="J24" s="67" t="n"/>
    </row>
    <row r="25" ht="18" customHeight="1">
      <c r="A25" s="50" t="n"/>
      <c r="B25" s="2" t="n"/>
      <c r="C25" s="54" t="n"/>
      <c r="D25" s="1" t="n"/>
      <c r="E25" s="54" t="n"/>
      <c r="F25" s="37" t="n"/>
      <c r="G25" s="67" t="n"/>
      <c r="H25" s="67" t="n"/>
      <c r="I25" s="67" t="n"/>
      <c r="J25" s="67" t="n"/>
    </row>
    <row r="26" ht="18" customHeight="1">
      <c r="A26" s="50" t="n"/>
      <c r="B26" s="2" t="n"/>
      <c r="C26" s="54" t="n"/>
      <c r="D26" s="1" t="n"/>
      <c r="E26" s="54" t="n"/>
      <c r="F26" s="37" t="n"/>
      <c r="G26" s="67" t="n"/>
      <c r="H26" s="67" t="n"/>
      <c r="I26" s="67" t="n"/>
      <c r="J26" s="67" t="n"/>
    </row>
    <row r="27" ht="18" customHeight="1">
      <c r="A27" s="50" t="n"/>
      <c r="B27" s="2" t="n"/>
      <c r="C27" s="54" t="n"/>
      <c r="D27" s="1" t="n"/>
      <c r="E27" s="54" t="n"/>
      <c r="F27" s="37" t="n"/>
      <c r="G27" s="67" t="n"/>
      <c r="H27" s="67" t="n"/>
      <c r="I27" s="67" t="n"/>
      <c r="J27" s="67" t="n"/>
    </row>
    <row r="28" ht="18" customHeight="1">
      <c r="A28" s="50" t="n"/>
      <c r="B28" s="2" t="n"/>
      <c r="C28" s="54" t="n"/>
      <c r="D28" s="1" t="n"/>
      <c r="E28" s="54" t="n"/>
      <c r="F28" s="37" t="n"/>
      <c r="G28" s="67" t="n"/>
      <c r="H28" s="67" t="n"/>
      <c r="I28" s="67" t="n"/>
      <c r="J28" s="67" t="n"/>
    </row>
    <row r="29" ht="18" customHeight="1">
      <c r="A29" s="50" t="n"/>
      <c r="B29" s="2" t="n"/>
      <c r="C29" s="54" t="n"/>
      <c r="D29" s="1" t="n"/>
      <c r="E29" s="54" t="n"/>
      <c r="F29" s="37" t="n"/>
      <c r="G29" s="67" t="n"/>
      <c r="H29" s="67" t="n"/>
      <c r="I29" s="67" t="n"/>
      <c r="J29" s="67" t="n"/>
    </row>
    <row r="30" ht="18" customHeight="1">
      <c r="A30" s="50" t="n"/>
      <c r="B30" s="2" t="n"/>
      <c r="C30" s="54" t="n"/>
      <c r="D30" s="1" t="n"/>
      <c r="E30" s="54" t="n"/>
      <c r="F30" s="37" t="n"/>
      <c r="G30" s="67" t="n"/>
      <c r="H30" s="67" t="n"/>
      <c r="I30" s="67" t="n"/>
      <c r="J30" s="67" t="n"/>
    </row>
    <row r="31" ht="18" customHeight="1">
      <c r="A31" s="50" t="n"/>
      <c r="B31" s="2" t="n"/>
      <c r="C31" s="54" t="n"/>
      <c r="D31" s="1" t="n"/>
      <c r="E31" s="54" t="n"/>
      <c r="F31" s="37" t="n"/>
      <c r="G31" s="67" t="n"/>
      <c r="H31" s="67" t="n"/>
      <c r="I31" s="67" t="n"/>
      <c r="J31" s="67" t="n"/>
    </row>
    <row r="32" ht="18" customHeight="1">
      <c r="A32" s="50" t="n"/>
      <c r="B32" s="2" t="n"/>
      <c r="C32" s="54" t="n"/>
      <c r="D32" s="1" t="n"/>
      <c r="E32" s="54" t="n"/>
      <c r="F32" s="37" t="n"/>
      <c r="G32" s="67" t="n"/>
      <c r="H32" s="67" t="n"/>
      <c r="I32" s="67" t="n"/>
      <c r="J32" s="67" t="n"/>
    </row>
    <row r="33" ht="18" customHeight="1">
      <c r="A33" s="50" t="n"/>
      <c r="B33" s="2" t="n"/>
      <c r="C33" s="54" t="n"/>
      <c r="D33" s="1" t="n"/>
      <c r="E33" s="54" t="n"/>
      <c r="F33" s="37" t="n"/>
      <c r="G33" s="67" t="n"/>
      <c r="H33" s="67" t="n"/>
      <c r="I33" s="67" t="n"/>
      <c r="J33" s="67" t="n"/>
    </row>
    <row r="34" ht="18" customHeight="1">
      <c r="A34" s="50" t="n"/>
      <c r="B34" s="2" t="n"/>
      <c r="C34" s="54" t="n"/>
      <c r="D34" s="1" t="n"/>
      <c r="E34" s="54" t="n"/>
      <c r="F34" s="37" t="n"/>
      <c r="G34" s="67" t="n"/>
      <c r="H34" s="67" t="n"/>
      <c r="I34" s="67" t="n"/>
      <c r="J34" s="67" t="n"/>
    </row>
    <row r="35" ht="18" customHeight="1">
      <c r="A35" s="50" t="n"/>
      <c r="B35" s="2" t="n"/>
      <c r="C35" s="54" t="n"/>
      <c r="D35" s="1" t="n"/>
      <c r="E35" s="54" t="n"/>
      <c r="F35" s="37" t="n"/>
      <c r="G35" s="67" t="n"/>
      <c r="H35" s="67" t="n"/>
      <c r="I35" s="67" t="n"/>
      <c r="J35" s="67" t="n"/>
    </row>
    <row r="36" ht="18" customHeight="1">
      <c r="A36" s="50" t="n"/>
      <c r="B36" s="2" t="n"/>
      <c r="C36" s="54" t="n"/>
      <c r="D36" s="1" t="n"/>
      <c r="E36" s="54" t="n"/>
      <c r="F36" s="37" t="n"/>
      <c r="G36" s="67" t="n"/>
      <c r="H36" s="67" t="n"/>
      <c r="I36" s="67" t="n"/>
      <c r="J36" s="67" t="n"/>
    </row>
    <row r="37" ht="18" customHeight="1">
      <c r="A37" s="50" t="n"/>
      <c r="B37" s="2" t="n"/>
      <c r="C37" s="54" t="n"/>
      <c r="D37" s="1" t="n"/>
      <c r="E37" s="54" t="n"/>
      <c r="F37" s="37" t="n"/>
      <c r="G37" s="67" t="n"/>
      <c r="H37" s="67" t="n"/>
      <c r="I37" s="67" t="n"/>
      <c r="J37" s="67" t="n"/>
    </row>
    <row r="38" ht="18" customHeight="1">
      <c r="A38" s="50" t="n"/>
      <c r="B38" s="2" t="n"/>
      <c r="C38" s="54" t="n"/>
      <c r="D38" s="1" t="n"/>
      <c r="E38" s="54" t="n"/>
      <c r="F38" s="37" t="n"/>
      <c r="G38" s="67" t="n"/>
      <c r="H38" s="67" t="n"/>
      <c r="I38" s="67" t="n"/>
      <c r="J38" s="67" t="n"/>
    </row>
    <row r="39" ht="18" customHeight="1">
      <c r="A39" s="50" t="n"/>
      <c r="B39" s="2" t="n"/>
      <c r="C39" s="54" t="n"/>
      <c r="D39" s="1" t="n"/>
      <c r="E39" s="54" t="n"/>
      <c r="F39" s="37" t="n"/>
      <c r="G39" s="67" t="n"/>
      <c r="H39" s="67" t="n"/>
      <c r="I39" s="67" t="n"/>
      <c r="J39" s="67" t="n"/>
    </row>
    <row r="40" ht="18" customHeight="1">
      <c r="A40" s="50" t="n"/>
      <c r="B40" s="2" t="n"/>
      <c r="C40" s="54" t="n"/>
      <c r="D40" s="1" t="n"/>
      <c r="E40" s="54" t="n"/>
      <c r="F40" s="37" t="n"/>
      <c r="G40" s="67" t="n"/>
      <c r="H40" s="67" t="n"/>
      <c r="I40" s="67" t="n"/>
      <c r="J40" s="67" t="n"/>
    </row>
    <row r="41" ht="18" customHeight="1">
      <c r="A41" s="50" t="n"/>
      <c r="B41" s="2" t="n"/>
      <c r="C41" s="54" t="n"/>
      <c r="D41" s="1" t="n"/>
      <c r="E41" s="54" t="n"/>
      <c r="F41" s="37" t="n"/>
      <c r="G41" s="67" t="n"/>
      <c r="H41" s="67" t="n"/>
      <c r="I41" s="67" t="n"/>
      <c r="J41" s="67" t="n"/>
    </row>
    <row r="42" ht="18" customHeight="1">
      <c r="A42" s="50" t="n"/>
      <c r="B42" s="2" t="n"/>
      <c r="C42" s="54" t="n"/>
      <c r="D42" s="1" t="n"/>
      <c r="E42" s="54" t="n"/>
      <c r="F42" s="37" t="n"/>
      <c r="G42" s="67" t="n"/>
      <c r="H42" s="67" t="n"/>
      <c r="I42" s="67" t="n"/>
      <c r="J42" s="67" t="n"/>
    </row>
    <row r="43" ht="18" customHeight="1">
      <c r="A43" s="50" t="n"/>
      <c r="B43" s="2" t="n"/>
      <c r="C43" s="54" t="n"/>
      <c r="D43" s="1" t="n"/>
      <c r="E43" s="54" t="n"/>
      <c r="F43" s="37" t="n"/>
      <c r="G43" s="67" t="n"/>
      <c r="H43" s="67" t="n"/>
      <c r="I43" s="67" t="n"/>
      <c r="J43" s="67" t="n"/>
    </row>
    <row r="44" ht="18" customHeight="1">
      <c r="A44" s="50" t="n"/>
      <c r="B44" s="2" t="n"/>
      <c r="C44" s="54" t="n"/>
      <c r="D44" s="1" t="n"/>
      <c r="E44" s="54" t="n"/>
      <c r="F44" s="37" t="n"/>
      <c r="G44" s="67" t="n"/>
      <c r="H44" s="67" t="n"/>
      <c r="I44" s="67" t="n"/>
      <c r="J44" s="67" t="n"/>
    </row>
    <row r="45" ht="18" customHeight="1">
      <c r="A45" s="50" t="n"/>
      <c r="B45" s="2" t="n"/>
      <c r="C45" s="54" t="n"/>
      <c r="D45" s="1" t="n"/>
      <c r="E45" s="54" t="n"/>
      <c r="F45" s="37" t="n"/>
      <c r="G45" s="67" t="n"/>
      <c r="H45" s="67" t="n"/>
      <c r="I45" s="67" t="n"/>
      <c r="J45" s="67" t="n"/>
    </row>
    <row r="46" ht="18" customHeight="1">
      <c r="A46" s="50" t="n"/>
      <c r="B46" s="2" t="n"/>
      <c r="C46" s="54" t="n"/>
      <c r="D46" s="1" t="n"/>
      <c r="E46" s="54" t="n"/>
      <c r="F46" s="37" t="n"/>
      <c r="G46" s="67" t="n"/>
      <c r="H46" s="67" t="n"/>
      <c r="I46" s="67" t="n"/>
      <c r="J46" s="67" t="n"/>
    </row>
    <row r="47" ht="18" customHeight="1">
      <c r="A47" s="50" t="n"/>
      <c r="B47" s="2" t="n"/>
      <c r="C47" s="54" t="n"/>
      <c r="D47" s="1" t="n"/>
      <c r="E47" s="54" t="n"/>
      <c r="F47" s="37" t="n"/>
      <c r="G47" s="67" t="n"/>
      <c r="H47" s="67" t="n"/>
      <c r="I47" s="67" t="n"/>
      <c r="J47" s="67" t="n"/>
    </row>
    <row r="48" ht="18" customHeight="1">
      <c r="A48" s="50" t="n"/>
      <c r="B48" s="2" t="n"/>
      <c r="C48" s="54" t="n"/>
      <c r="D48" s="1" t="n"/>
      <c r="E48" s="54" t="n"/>
      <c r="F48" s="37" t="n"/>
      <c r="G48" s="67" t="n"/>
      <c r="H48" s="67" t="n"/>
      <c r="I48" s="67" t="n"/>
      <c r="J48" s="67" t="n"/>
    </row>
    <row r="49" ht="18" customHeight="1">
      <c r="A49" s="50" t="n"/>
      <c r="B49" s="2" t="n"/>
      <c r="C49" s="54" t="n"/>
      <c r="D49" s="1" t="n"/>
      <c r="E49" s="54" t="n"/>
      <c r="F49" s="37" t="n"/>
      <c r="G49" s="67" t="n"/>
      <c r="H49" s="67" t="n"/>
      <c r="I49" s="67" t="n"/>
      <c r="J49" s="67" t="n"/>
    </row>
    <row r="50" ht="18" customHeight="1">
      <c r="A50" s="50" t="n"/>
      <c r="B50" s="2" t="n"/>
      <c r="C50" s="54" t="n"/>
      <c r="D50" s="1" t="n"/>
      <c r="E50" s="54" t="n"/>
      <c r="F50" s="37" t="n"/>
      <c r="G50" s="67" t="n"/>
      <c r="H50" s="67" t="n"/>
      <c r="I50" s="67" t="n"/>
      <c r="J50" s="67" t="n"/>
    </row>
    <row r="51" ht="18" customHeight="1">
      <c r="A51" s="50" t="n"/>
      <c r="B51" s="2" t="n"/>
      <c r="C51" s="54" t="n"/>
      <c r="D51" s="1" t="n"/>
      <c r="E51" s="54" t="n"/>
      <c r="F51" s="37" t="n"/>
      <c r="G51" s="67" t="n"/>
      <c r="H51" s="67" t="n"/>
      <c r="I51" s="67" t="n"/>
      <c r="J51" s="67" t="n"/>
    </row>
    <row r="52" ht="18" customHeight="1">
      <c r="A52" s="50" t="n"/>
      <c r="B52" s="2" t="n"/>
      <c r="C52" s="54" t="n"/>
      <c r="D52" s="1" t="n"/>
      <c r="E52" s="54" t="n"/>
      <c r="F52" s="37" t="n"/>
      <c r="G52" s="67" t="n"/>
      <c r="H52" s="67" t="n"/>
      <c r="I52" s="67" t="n"/>
      <c r="J52" s="67" t="n"/>
    </row>
    <row r="53" ht="18" customHeight="1">
      <c r="A53" s="50" t="n"/>
      <c r="B53" s="2" t="n"/>
      <c r="C53" s="54" t="n"/>
      <c r="D53" s="1" t="n"/>
      <c r="E53" s="54" t="n"/>
      <c r="F53" s="37" t="n"/>
      <c r="G53" s="67" t="n"/>
      <c r="H53" s="67" t="n"/>
      <c r="I53" s="67" t="n"/>
      <c r="J53" s="67" t="n"/>
    </row>
    <row r="54" ht="18" customHeight="1">
      <c r="A54" s="50" t="n"/>
      <c r="B54" s="2" t="n"/>
      <c r="C54" s="54" t="n"/>
      <c r="D54" s="1" t="n"/>
      <c r="E54" s="54" t="n"/>
      <c r="F54" s="37" t="n"/>
      <c r="G54" s="67" t="n"/>
      <c r="H54" s="67" t="n"/>
      <c r="I54" s="67" t="n"/>
      <c r="J54" s="67" t="n"/>
    </row>
    <row r="55" ht="18" customHeight="1">
      <c r="A55" s="50" t="n"/>
      <c r="B55" s="2" t="n"/>
      <c r="C55" s="54" t="n"/>
      <c r="D55" s="1" t="n"/>
      <c r="E55" s="54" t="n"/>
      <c r="F55" s="37" t="n"/>
      <c r="G55" s="67" t="n"/>
      <c r="H55" s="67" t="n"/>
      <c r="I55" s="67" t="n"/>
      <c r="J55" s="67" t="n"/>
    </row>
    <row r="56" ht="18" customHeight="1">
      <c r="A56" s="50" t="n"/>
      <c r="B56" s="2" t="n"/>
      <c r="C56" s="54" t="n"/>
      <c r="D56" s="1" t="n"/>
      <c r="E56" s="54" t="n"/>
      <c r="F56" s="37" t="n"/>
      <c r="G56" s="67" t="n"/>
      <c r="H56" s="67" t="n"/>
      <c r="I56" s="67" t="n"/>
      <c r="J56" s="67" t="n"/>
    </row>
    <row r="57" ht="18" customHeight="1">
      <c r="A57" s="50" t="n"/>
      <c r="B57" s="2" t="n"/>
      <c r="C57" s="54" t="n"/>
      <c r="D57" s="1" t="n"/>
      <c r="E57" s="54" t="n"/>
      <c r="F57" s="37" t="n"/>
      <c r="G57" s="67" t="n"/>
      <c r="H57" s="67" t="n"/>
      <c r="I57" s="67" t="n"/>
      <c r="J57" s="67" t="n"/>
    </row>
    <row r="58" ht="18" customHeight="1">
      <c r="A58" s="50" t="n"/>
      <c r="B58" s="2" t="n"/>
      <c r="C58" s="54" t="n"/>
      <c r="D58" s="1" t="n"/>
      <c r="E58" s="54" t="n"/>
      <c r="F58" s="37" t="n"/>
      <c r="G58" s="67" t="n"/>
      <c r="H58" s="67" t="n"/>
      <c r="I58" s="67" t="n"/>
      <c r="J58" s="67" t="n"/>
    </row>
    <row r="59" ht="18" customHeight="1">
      <c r="A59" s="50" t="n"/>
      <c r="B59" s="2" t="n"/>
      <c r="C59" s="54" t="n"/>
      <c r="D59" s="1" t="n"/>
      <c r="E59" s="54" t="n"/>
      <c r="F59" s="37" t="n"/>
      <c r="G59" s="67" t="n"/>
      <c r="H59" s="67" t="n"/>
      <c r="I59" s="67" t="n"/>
      <c r="J59" s="67" t="n"/>
    </row>
    <row r="60" ht="18" customHeight="1">
      <c r="A60" s="50" t="n"/>
      <c r="B60" s="2" t="n"/>
      <c r="C60" s="54" t="n"/>
      <c r="D60" s="1" t="n"/>
      <c r="E60" s="54" t="n"/>
      <c r="F60" s="37" t="n"/>
      <c r="G60" s="67" t="n"/>
      <c r="H60" s="67" t="n"/>
      <c r="I60" s="67" t="n"/>
      <c r="J60" s="67" t="n"/>
    </row>
    <row r="61" ht="18" customHeight="1">
      <c r="A61" s="50" t="n"/>
      <c r="B61" s="2" t="n"/>
      <c r="C61" s="54" t="n"/>
      <c r="D61" s="1" t="n"/>
      <c r="E61" s="54" t="n"/>
      <c r="F61" s="37" t="n"/>
      <c r="G61" s="67" t="n"/>
      <c r="H61" s="67" t="n"/>
      <c r="I61" s="67" t="n"/>
      <c r="J61" s="67" t="n"/>
    </row>
    <row r="62" ht="18" customHeight="1">
      <c r="A62" s="50" t="n"/>
      <c r="B62" s="2" t="n"/>
      <c r="C62" s="54" t="n"/>
      <c r="D62" s="1" t="n"/>
      <c r="E62" s="54" t="n"/>
      <c r="F62" s="37" t="n"/>
      <c r="G62" s="67" t="n"/>
      <c r="H62" s="67" t="n"/>
      <c r="I62" s="67" t="n"/>
      <c r="J62" s="67" t="n"/>
    </row>
    <row r="63" ht="18" customHeight="1">
      <c r="A63" s="50" t="n"/>
      <c r="B63" s="2" t="n"/>
      <c r="C63" s="54" t="n"/>
      <c r="D63" s="1" t="n"/>
      <c r="E63" s="54" t="n"/>
      <c r="F63" s="37" t="n"/>
      <c r="G63" s="67" t="n"/>
      <c r="H63" s="67" t="n"/>
      <c r="I63" s="67" t="n"/>
      <c r="J63" s="67" t="n"/>
    </row>
    <row r="64" ht="18" customHeight="1">
      <c r="A64" s="50" t="n"/>
      <c r="B64" s="2" t="n"/>
      <c r="C64" s="54" t="n"/>
      <c r="D64" s="1" t="n"/>
      <c r="E64" s="54" t="n"/>
      <c r="F64" s="37" t="n"/>
      <c r="G64" s="67" t="n"/>
      <c r="H64" s="67" t="n"/>
      <c r="I64" s="67" t="n"/>
      <c r="J64" s="67" t="n"/>
    </row>
    <row r="65" ht="18" customHeight="1">
      <c r="A65" s="50" t="n"/>
      <c r="B65" s="2" t="n"/>
      <c r="C65" s="54" t="n"/>
      <c r="D65" s="1" t="n"/>
      <c r="E65" s="54" t="n"/>
      <c r="F65" s="37" t="n"/>
      <c r="G65" s="67" t="n"/>
      <c r="H65" s="67" t="n"/>
      <c r="I65" s="67" t="n"/>
      <c r="J65" s="67" t="n"/>
    </row>
    <row r="66" ht="18" customHeight="1">
      <c r="A66" s="50" t="n"/>
      <c r="B66" s="2" t="n"/>
      <c r="C66" s="54" t="n"/>
      <c r="D66" s="1" t="n"/>
      <c r="E66" s="54" t="n"/>
      <c r="F66" s="37" t="n"/>
      <c r="G66" s="67" t="n"/>
      <c r="H66" s="67" t="n"/>
      <c r="I66" s="67" t="n"/>
      <c r="J66" s="67" t="n"/>
    </row>
    <row r="67" ht="18" customHeight="1">
      <c r="A67" s="50" t="n"/>
      <c r="B67" s="2" t="n"/>
      <c r="C67" s="54" t="n"/>
      <c r="D67" s="1" t="n"/>
      <c r="E67" s="54" t="n"/>
      <c r="F67" s="37" t="n"/>
      <c r="G67" s="67" t="n"/>
      <c r="H67" s="67" t="n"/>
      <c r="I67" s="67" t="n"/>
      <c r="J67" s="67" t="n"/>
    </row>
    <row r="68" ht="18" customHeight="1">
      <c r="A68" s="50" t="n"/>
      <c r="B68" s="2" t="n"/>
      <c r="C68" s="54" t="n"/>
      <c r="D68" s="1" t="n"/>
      <c r="E68" s="54" t="n"/>
      <c r="F68" s="37" t="n"/>
      <c r="G68" s="67" t="n"/>
      <c r="H68" s="67" t="n"/>
      <c r="I68" s="67" t="n"/>
      <c r="J68" s="67" t="n"/>
    </row>
    <row r="69" ht="18" customHeight="1">
      <c r="A69" s="50" t="n"/>
      <c r="B69" s="2" t="n"/>
      <c r="C69" s="54" t="n"/>
      <c r="D69" s="1" t="n"/>
      <c r="E69" s="54" t="n"/>
      <c r="F69" s="37" t="n"/>
      <c r="G69" s="67" t="n"/>
      <c r="H69" s="67" t="n"/>
      <c r="I69" s="67" t="n"/>
      <c r="J69" s="67" t="n"/>
    </row>
    <row r="70" ht="18" customHeight="1">
      <c r="A70" s="50" t="n"/>
      <c r="B70" s="2" t="n"/>
      <c r="C70" s="54" t="n"/>
      <c r="D70" s="1" t="n"/>
      <c r="E70" s="54" t="n"/>
      <c r="F70" s="37" t="n"/>
      <c r="G70" s="67" t="n"/>
      <c r="H70" s="67" t="n"/>
      <c r="I70" s="67" t="n"/>
      <c r="J70" s="67" t="n"/>
    </row>
    <row r="71" ht="18" customHeight="1">
      <c r="A71" s="50" t="n"/>
      <c r="B71" s="2" t="n"/>
      <c r="C71" s="54" t="n"/>
      <c r="D71" s="1" t="n"/>
      <c r="E71" s="54" t="n"/>
      <c r="F71" s="37" t="n"/>
      <c r="G71" s="67" t="n"/>
      <c r="H71" s="67" t="n"/>
      <c r="I71" s="67" t="n"/>
      <c r="J71" s="67" t="n"/>
    </row>
    <row r="72" ht="18" customHeight="1">
      <c r="A72" s="50" t="n"/>
      <c r="B72" s="2" t="n"/>
      <c r="C72" s="54" t="n"/>
      <c r="D72" s="1" t="n"/>
      <c r="E72" s="54" t="n"/>
      <c r="F72" s="37" t="n"/>
      <c r="G72" s="67" t="n"/>
      <c r="H72" s="67" t="n"/>
      <c r="I72" s="67" t="n"/>
      <c r="J72" s="67" t="n"/>
    </row>
    <row r="73" ht="18" customHeight="1">
      <c r="A73" s="50" t="n"/>
      <c r="B73" s="2" t="n"/>
      <c r="C73" s="54" t="n"/>
      <c r="D73" s="1" t="n"/>
      <c r="E73" s="54" t="n"/>
      <c r="F73" s="37" t="n"/>
      <c r="G73" s="67" t="n"/>
      <c r="H73" s="67" t="n"/>
      <c r="I73" s="67" t="n"/>
      <c r="J73" s="67" t="n"/>
    </row>
    <row r="74" ht="18" customHeight="1">
      <c r="A74" s="50" t="n"/>
      <c r="B74" s="2" t="n"/>
      <c r="C74" s="54" t="n"/>
      <c r="D74" s="1" t="n"/>
      <c r="E74" s="54" t="n"/>
      <c r="F74" s="37" t="n"/>
      <c r="G74" s="67" t="n"/>
      <c r="H74" s="67" t="n"/>
      <c r="I74" s="67" t="n"/>
      <c r="J74" s="67" t="n"/>
    </row>
    <row r="75" ht="18" customHeight="1">
      <c r="A75" s="50" t="n"/>
      <c r="B75" s="2" t="n"/>
      <c r="C75" s="54" t="n"/>
      <c r="D75" s="1" t="n"/>
      <c r="E75" s="54" t="n"/>
      <c r="F75" s="37" t="n"/>
      <c r="G75" s="67" t="n"/>
      <c r="H75" s="67" t="n"/>
      <c r="I75" s="67" t="n"/>
      <c r="J75" s="67" t="n"/>
    </row>
    <row r="76" ht="18" customHeight="1">
      <c r="A76" s="50" t="n"/>
      <c r="B76" s="2" t="n"/>
      <c r="C76" s="54" t="n"/>
      <c r="D76" s="1" t="n"/>
      <c r="E76" s="54" t="n"/>
      <c r="F76" s="37" t="n"/>
      <c r="G76" s="67" t="n"/>
      <c r="H76" s="67" t="n"/>
      <c r="I76" s="67" t="n"/>
      <c r="J76" s="67" t="n"/>
    </row>
    <row r="77" ht="18" customHeight="1">
      <c r="A77" s="50" t="n"/>
      <c r="B77" s="2" t="n"/>
      <c r="C77" s="54" t="n"/>
      <c r="D77" s="1" t="n"/>
      <c r="E77" s="54" t="n"/>
      <c r="F77" s="37" t="n"/>
      <c r="G77" s="67" t="n"/>
      <c r="H77" s="67" t="n"/>
      <c r="I77" s="67" t="n"/>
      <c r="J77" s="67" t="n"/>
    </row>
    <row r="78" ht="18" customHeight="1">
      <c r="A78" s="50" t="n"/>
      <c r="B78" s="2" t="n"/>
      <c r="C78" s="54" t="n"/>
      <c r="D78" s="1" t="n"/>
      <c r="E78" s="54" t="n"/>
      <c r="F78" s="37" t="n"/>
      <c r="G78" s="67" t="n"/>
      <c r="H78" s="67" t="n"/>
      <c r="I78" s="67" t="n"/>
      <c r="J78" s="67" t="n"/>
    </row>
    <row r="79" ht="18" customHeight="1">
      <c r="A79" s="50" t="n"/>
      <c r="B79" s="2" t="n"/>
      <c r="C79" s="54" t="n"/>
      <c r="D79" s="1" t="n"/>
      <c r="E79" s="54" t="n"/>
      <c r="F79" s="37" t="n"/>
      <c r="G79" s="67" t="n"/>
      <c r="H79" s="67" t="n"/>
      <c r="I79" s="67" t="n"/>
      <c r="J79" s="67" t="n"/>
    </row>
    <row r="80" ht="18" customHeight="1">
      <c r="A80" s="50" t="n"/>
      <c r="B80" s="2" t="n"/>
      <c r="C80" s="54" t="n"/>
      <c r="D80" s="1" t="n"/>
      <c r="E80" s="54" t="n"/>
      <c r="F80" s="37" t="n"/>
      <c r="G80" s="67" t="n"/>
      <c r="H80" s="67" t="n"/>
      <c r="I80" s="67" t="n"/>
      <c r="J80" s="67" t="n"/>
    </row>
    <row r="81" ht="18" customHeight="1">
      <c r="A81" s="50" t="n"/>
      <c r="B81" s="2" t="n"/>
      <c r="C81" s="54" t="n"/>
      <c r="D81" s="1" t="n"/>
      <c r="E81" s="54" t="n"/>
      <c r="F81" s="37" t="n"/>
      <c r="G81" s="67" t="n"/>
      <c r="H81" s="67" t="n"/>
      <c r="I81" s="67" t="n"/>
      <c r="J81" s="67" t="n"/>
    </row>
    <row r="82" ht="18" customHeight="1">
      <c r="A82" s="50" t="n"/>
      <c r="B82" s="2" t="n"/>
      <c r="C82" s="54" t="n"/>
      <c r="D82" s="1" t="n"/>
      <c r="E82" s="54" t="n"/>
      <c r="F82" s="37" t="n"/>
      <c r="G82" s="67" t="n"/>
      <c r="H82" s="67" t="n"/>
      <c r="I82" s="67" t="n"/>
      <c r="J82" s="67" t="n"/>
    </row>
    <row r="83" ht="18" customHeight="1">
      <c r="A83" s="50" t="n"/>
      <c r="B83" s="2" t="n"/>
      <c r="C83" s="54" t="n"/>
      <c r="D83" s="1" t="n"/>
      <c r="E83" s="54" t="n"/>
      <c r="F83" s="37" t="n"/>
      <c r="G83" s="67" t="n"/>
      <c r="H83" s="67" t="n"/>
      <c r="I83" s="67" t="n"/>
      <c r="J83" s="67" t="n"/>
    </row>
    <row r="84" ht="18" customHeight="1">
      <c r="A84" s="50" t="n"/>
      <c r="B84" s="2" t="n"/>
      <c r="C84" s="54" t="n"/>
      <c r="D84" s="1" t="n"/>
      <c r="E84" s="54" t="n"/>
      <c r="F84" s="37" t="n"/>
      <c r="G84" s="67" t="n"/>
      <c r="H84" s="67" t="n"/>
      <c r="I84" s="67" t="n"/>
      <c r="J84" s="67" t="n"/>
    </row>
    <row r="85" ht="18" customHeight="1">
      <c r="A85" s="50" t="n"/>
      <c r="B85" s="2" t="n"/>
      <c r="C85" s="54" t="n"/>
      <c r="D85" s="1" t="n"/>
      <c r="E85" s="54" t="n"/>
      <c r="F85" s="37" t="n"/>
      <c r="G85" s="67" t="n"/>
      <c r="H85" s="67" t="n"/>
      <c r="I85" s="67" t="n"/>
      <c r="J85" s="67" t="n"/>
    </row>
    <row r="86" ht="18" customHeight="1">
      <c r="A86" s="50" t="n"/>
      <c r="B86" s="2" t="n"/>
      <c r="C86" s="54" t="n"/>
      <c r="D86" s="1" t="n"/>
      <c r="E86" s="54" t="n"/>
      <c r="F86" s="37" t="n"/>
      <c r="G86" s="67" t="n"/>
      <c r="H86" s="67" t="n"/>
      <c r="I86" s="67" t="n"/>
      <c r="J86" s="67" t="n"/>
    </row>
    <row r="87" ht="18" customHeight="1">
      <c r="A87" s="50" t="n"/>
      <c r="B87" s="2" t="n"/>
      <c r="C87" s="54" t="n"/>
      <c r="D87" s="1" t="n"/>
      <c r="E87" s="54" t="n"/>
      <c r="F87" s="37" t="n"/>
      <c r="G87" s="67" t="n"/>
      <c r="H87" s="67" t="n"/>
      <c r="I87" s="67" t="n"/>
      <c r="J87" s="67" t="n"/>
    </row>
    <row r="88" ht="18" customHeight="1">
      <c r="A88" s="50" t="n"/>
      <c r="B88" s="2" t="n"/>
      <c r="C88" s="54" t="n"/>
      <c r="D88" s="1" t="n"/>
      <c r="E88" s="54" t="n"/>
      <c r="F88" s="37" t="n"/>
      <c r="G88" s="67" t="n"/>
      <c r="H88" s="67" t="n"/>
      <c r="I88" s="67" t="n"/>
      <c r="J88" s="67" t="n"/>
    </row>
    <row r="89" ht="18" customHeight="1">
      <c r="A89" s="50" t="n"/>
      <c r="B89" s="2" t="n"/>
      <c r="C89" s="54" t="n"/>
      <c r="D89" s="1" t="n"/>
      <c r="E89" s="54" t="n"/>
      <c r="F89" s="37" t="n"/>
      <c r="G89" s="67" t="n"/>
      <c r="H89" s="67" t="n"/>
      <c r="I89" s="67" t="n"/>
      <c r="J89" s="67" t="n"/>
    </row>
    <row r="90" ht="18" customHeight="1">
      <c r="A90" s="50" t="n"/>
      <c r="B90" s="2" t="n"/>
      <c r="C90" s="54" t="n"/>
      <c r="D90" s="1" t="n"/>
      <c r="E90" s="54" t="n"/>
      <c r="F90" s="37" t="n"/>
      <c r="G90" s="67" t="n"/>
      <c r="H90" s="67" t="n"/>
      <c r="I90" s="67" t="n"/>
      <c r="J90" s="67" t="n"/>
    </row>
    <row r="91" ht="18" customHeight="1">
      <c r="A91" s="50" t="n"/>
      <c r="B91" s="2" t="n"/>
      <c r="C91" s="54" t="n"/>
      <c r="D91" s="1" t="n"/>
      <c r="E91" s="54" t="n"/>
      <c r="F91" s="37" t="n"/>
      <c r="G91" s="67" t="n"/>
      <c r="H91" s="67" t="n"/>
      <c r="I91" s="67" t="n"/>
      <c r="J91" s="67" t="n"/>
    </row>
    <row r="92" ht="18" customHeight="1">
      <c r="A92" s="50" t="n"/>
      <c r="B92" s="2" t="n"/>
      <c r="C92" s="54" t="n"/>
      <c r="D92" s="1" t="n"/>
      <c r="E92" s="54" t="n"/>
      <c r="F92" s="37" t="n"/>
      <c r="G92" s="67" t="n"/>
      <c r="H92" s="67" t="n"/>
      <c r="I92" s="67" t="n"/>
      <c r="J92" s="67" t="n"/>
    </row>
    <row r="93" ht="18" customHeight="1">
      <c r="A93" s="50" t="n"/>
      <c r="B93" s="2" t="n"/>
      <c r="C93" s="54" t="n"/>
      <c r="D93" s="1" t="n"/>
      <c r="E93" s="54" t="n"/>
      <c r="F93" s="37" t="n"/>
      <c r="G93" s="67" t="n"/>
      <c r="H93" s="67" t="n"/>
      <c r="I93" s="67" t="n"/>
      <c r="J93" s="67" t="n"/>
    </row>
    <row r="94" ht="18" customHeight="1">
      <c r="A94" s="50" t="n"/>
      <c r="B94" s="2" t="n"/>
      <c r="C94" s="54" t="n"/>
      <c r="D94" s="1" t="n"/>
      <c r="E94" s="54" t="n"/>
      <c r="F94" s="37" t="n"/>
      <c r="G94" s="67" t="n"/>
      <c r="H94" s="67" t="n"/>
      <c r="I94" s="67" t="n"/>
      <c r="J94" s="67" t="n"/>
    </row>
    <row r="95" ht="18" customHeight="1">
      <c r="A95" s="50" t="n"/>
      <c r="B95" s="2" t="n"/>
      <c r="C95" s="54" t="n"/>
      <c r="D95" s="1" t="n"/>
      <c r="E95" s="54" t="n"/>
      <c r="F95" s="37" t="n"/>
      <c r="G95" s="67" t="n"/>
      <c r="H95" s="67" t="n"/>
      <c r="I95" s="67" t="n"/>
      <c r="J95" s="67" t="n"/>
    </row>
    <row r="96" ht="18" customHeight="1">
      <c r="A96" s="50" t="n"/>
      <c r="B96" s="2" t="n"/>
      <c r="C96" s="54" t="n"/>
      <c r="D96" s="1" t="n"/>
      <c r="E96" s="54" t="n"/>
      <c r="F96" s="37" t="n"/>
      <c r="G96" s="67" t="n"/>
      <c r="H96" s="67" t="n"/>
      <c r="I96" s="67" t="n"/>
      <c r="J96" s="67" t="n"/>
    </row>
    <row r="97" ht="18" customHeight="1">
      <c r="A97" s="50" t="n"/>
      <c r="B97" s="2" t="n"/>
      <c r="C97" s="54" t="n"/>
      <c r="D97" s="1" t="n"/>
      <c r="E97" s="54" t="n"/>
      <c r="F97" s="37" t="n"/>
      <c r="G97" s="67" t="n"/>
      <c r="H97" s="67" t="n"/>
      <c r="I97" s="67" t="n"/>
      <c r="J97" s="67" t="n"/>
    </row>
    <row r="98" ht="18" customHeight="1">
      <c r="A98" s="50" t="n"/>
      <c r="B98" s="2" t="n"/>
      <c r="C98" s="54" t="n"/>
      <c r="D98" s="1" t="n"/>
      <c r="E98" s="54" t="n"/>
      <c r="F98" s="37" t="n"/>
      <c r="G98" s="67" t="n"/>
      <c r="H98" s="67" t="n"/>
      <c r="I98" s="67" t="n"/>
      <c r="J98" s="67" t="n"/>
    </row>
    <row r="99" ht="18" customHeight="1">
      <c r="A99" s="50" t="n"/>
      <c r="B99" s="2" t="n"/>
      <c r="C99" s="54" t="n"/>
      <c r="D99" s="1" t="n"/>
      <c r="E99" s="54" t="n"/>
      <c r="F99" s="37" t="n"/>
      <c r="G99" s="67" t="n"/>
      <c r="H99" s="67" t="n"/>
      <c r="I99" s="67" t="n"/>
      <c r="J99" s="67" t="n"/>
    </row>
    <row r="100" ht="18" customHeight="1">
      <c r="A100" s="50" t="n"/>
      <c r="B100" s="2" t="n"/>
      <c r="C100" s="54" t="n"/>
      <c r="D100" s="1" t="n"/>
      <c r="E100" s="54" t="n"/>
      <c r="F100" s="37" t="n"/>
      <c r="G100" s="67" t="n"/>
      <c r="H100" s="67" t="n"/>
      <c r="I100" s="67" t="n"/>
      <c r="J100" s="67" t="n"/>
    </row>
    <row r="101" ht="18" customHeight="1">
      <c r="A101" s="50" t="n"/>
      <c r="B101" s="2" t="n"/>
      <c r="C101" s="54" t="n"/>
      <c r="D101" s="1" t="n"/>
      <c r="E101" s="54" t="n"/>
      <c r="F101" s="37" t="n"/>
      <c r="G101" s="67" t="n"/>
      <c r="H101" s="67" t="n"/>
      <c r="I101" s="67" t="n"/>
      <c r="J101" s="67" t="n"/>
    </row>
    <row r="102" ht="18" customHeight="1">
      <c r="A102" s="50" t="n"/>
      <c r="B102" s="2" t="n"/>
      <c r="C102" s="54" t="n"/>
      <c r="D102" s="1" t="n"/>
      <c r="E102" s="54" t="n"/>
      <c r="F102" s="37" t="n"/>
      <c r="G102" s="67" t="n"/>
      <c r="H102" s="67" t="n"/>
      <c r="I102" s="67" t="n"/>
      <c r="J102" s="67" t="n"/>
    </row>
    <row r="103" ht="18" customHeight="1">
      <c r="A103" s="50" t="n"/>
      <c r="B103" s="2" t="n"/>
      <c r="C103" s="54" t="n"/>
      <c r="D103" s="1" t="n"/>
      <c r="E103" s="54" t="n"/>
      <c r="F103" s="37" t="n"/>
      <c r="G103" s="67" t="n"/>
      <c r="H103" s="67" t="n"/>
      <c r="I103" s="67" t="n"/>
      <c r="J103" s="67" t="n"/>
    </row>
    <row r="104" ht="18" customHeight="1">
      <c r="A104" s="50" t="n"/>
      <c r="B104" s="2" t="n"/>
      <c r="C104" s="54" t="n"/>
      <c r="D104" s="1" t="n"/>
      <c r="E104" s="54" t="n"/>
      <c r="F104" s="37" t="n"/>
      <c r="G104" s="67" t="n"/>
      <c r="H104" s="67" t="n"/>
      <c r="I104" s="67" t="n"/>
      <c r="J104" s="67" t="n"/>
    </row>
    <row r="105" ht="18" customHeight="1">
      <c r="A105" s="50" t="n"/>
      <c r="B105" s="2" t="n"/>
      <c r="C105" s="54" t="n"/>
      <c r="D105" s="1" t="n"/>
      <c r="E105" s="54" t="n"/>
      <c r="F105" s="37" t="n"/>
      <c r="G105" s="67" t="n"/>
      <c r="H105" s="67" t="n"/>
      <c r="I105" s="67" t="n"/>
      <c r="J105" s="67" t="n"/>
    </row>
    <row r="106" ht="18" customHeight="1">
      <c r="A106" s="50" t="n"/>
      <c r="B106" s="2" t="n"/>
      <c r="C106" s="54" t="n"/>
      <c r="D106" s="1" t="n"/>
      <c r="E106" s="54" t="n"/>
      <c r="F106" s="37" t="n"/>
      <c r="G106" s="67" t="n"/>
      <c r="H106" s="67" t="n"/>
      <c r="I106" s="67" t="n"/>
      <c r="J106" s="67" t="n"/>
    </row>
    <row r="107" ht="18" customHeight="1">
      <c r="A107" s="50" t="n"/>
      <c r="B107" s="2" t="n"/>
      <c r="C107" s="54" t="n"/>
      <c r="D107" s="1" t="n"/>
      <c r="E107" s="54" t="n"/>
      <c r="F107" s="37" t="n"/>
      <c r="G107" s="67" t="n"/>
      <c r="H107" s="67" t="n"/>
      <c r="I107" s="67" t="n"/>
      <c r="J107" s="67" t="n"/>
    </row>
    <row r="108" ht="18" customHeight="1">
      <c r="A108" s="50" t="n"/>
      <c r="B108" s="2" t="n"/>
      <c r="C108" s="54" t="n"/>
      <c r="D108" s="1" t="n"/>
      <c r="E108" s="54" t="n"/>
      <c r="F108" s="37" t="n"/>
      <c r="G108" s="67" t="n"/>
      <c r="H108" s="67" t="n"/>
      <c r="I108" s="67" t="n"/>
      <c r="J108" s="67" t="n"/>
    </row>
    <row r="109" ht="18" customHeight="1">
      <c r="A109" s="50" t="n"/>
      <c r="B109" s="2" t="n"/>
      <c r="C109" s="54" t="n"/>
      <c r="D109" s="1" t="n"/>
      <c r="E109" s="54" t="n"/>
      <c r="F109" s="37" t="n"/>
      <c r="G109" s="67" t="n"/>
      <c r="H109" s="67" t="n"/>
      <c r="I109" s="67" t="n"/>
      <c r="J109" s="67" t="n"/>
    </row>
    <row r="110" ht="18" customHeight="1">
      <c r="A110" s="50" t="n"/>
      <c r="B110" s="2" t="n"/>
      <c r="C110" s="54" t="n"/>
      <c r="D110" s="1" t="n"/>
      <c r="E110" s="54" t="n"/>
      <c r="F110" s="37" t="n"/>
      <c r="G110" s="67" t="n"/>
      <c r="H110" s="67" t="n"/>
      <c r="I110" s="67" t="n"/>
      <c r="J110" s="67" t="n"/>
    </row>
    <row r="111" ht="18" customHeight="1">
      <c r="A111" s="50" t="n"/>
      <c r="B111" s="2" t="n"/>
      <c r="C111" s="54" t="n"/>
      <c r="D111" s="1" t="n"/>
      <c r="E111" s="54" t="n"/>
      <c r="F111" s="37" t="n"/>
      <c r="G111" s="67" t="n"/>
      <c r="H111" s="67" t="n"/>
      <c r="I111" s="67" t="n"/>
      <c r="J111" s="67" t="n"/>
    </row>
    <row r="112" ht="18" customHeight="1">
      <c r="A112" s="50" t="n"/>
      <c r="B112" s="2" t="n"/>
      <c r="C112" s="54" t="n"/>
      <c r="D112" s="1" t="n"/>
      <c r="E112" s="54" t="n"/>
      <c r="F112" s="37" t="n"/>
      <c r="G112" s="67" t="n"/>
      <c r="H112" s="67" t="n"/>
      <c r="I112" s="67" t="n"/>
      <c r="J112" s="67" t="n"/>
    </row>
    <row r="113" ht="18" customHeight="1">
      <c r="A113" s="50" t="n"/>
      <c r="B113" s="2" t="n"/>
      <c r="C113" s="54" t="n"/>
      <c r="D113" s="1" t="n"/>
      <c r="E113" s="54" t="n"/>
      <c r="F113" s="37" t="n"/>
      <c r="G113" s="67" t="n"/>
      <c r="H113" s="67" t="n"/>
      <c r="I113" s="67" t="n"/>
      <c r="J113" s="67" t="n"/>
    </row>
    <row r="114" ht="18" customHeight="1">
      <c r="A114" s="50" t="n"/>
      <c r="B114" s="2" t="n"/>
      <c r="C114" s="54" t="n"/>
      <c r="D114" s="1" t="n"/>
      <c r="E114" s="54" t="n"/>
      <c r="F114" s="37" t="n"/>
      <c r="G114" s="67" t="n"/>
      <c r="H114" s="67" t="n"/>
      <c r="I114" s="67" t="n"/>
      <c r="J114" s="67" t="n"/>
    </row>
    <row r="115" ht="18" customHeight="1">
      <c r="A115" s="50" t="n"/>
      <c r="B115" s="2" t="n"/>
      <c r="C115" s="54" t="n"/>
      <c r="D115" s="1" t="n"/>
      <c r="E115" s="54" t="n"/>
      <c r="F115" s="37" t="n"/>
      <c r="G115" s="67" t="n"/>
      <c r="H115" s="67" t="n"/>
      <c r="I115" s="67" t="n"/>
      <c r="J115" s="67" t="n"/>
    </row>
    <row r="116" ht="18" customHeight="1">
      <c r="A116" s="50" t="n"/>
      <c r="B116" s="2" t="n"/>
      <c r="C116" s="54" t="n"/>
      <c r="D116" s="1" t="n"/>
      <c r="E116" s="54" t="n"/>
      <c r="F116" s="37" t="n"/>
      <c r="G116" s="67" t="n"/>
      <c r="H116" s="67" t="n"/>
      <c r="I116" s="67" t="n"/>
      <c r="J116" s="67" t="n"/>
    </row>
    <row r="117" ht="18" customHeight="1">
      <c r="A117" s="50" t="n"/>
      <c r="B117" s="2" t="n"/>
      <c r="C117" s="54" t="n"/>
      <c r="D117" s="1" t="n"/>
      <c r="E117" s="54" t="n"/>
      <c r="F117" s="37" t="n"/>
      <c r="G117" s="67" t="n"/>
      <c r="H117" s="67" t="n"/>
      <c r="I117" s="67" t="n"/>
      <c r="J117" s="67" t="n"/>
    </row>
    <row r="118" ht="18" customHeight="1">
      <c r="A118" s="50" t="n"/>
      <c r="B118" s="2" t="n"/>
      <c r="C118" s="54" t="n"/>
      <c r="D118" s="1" t="n"/>
      <c r="E118" s="54" t="n"/>
      <c r="F118" s="37" t="n"/>
      <c r="G118" s="67" t="n"/>
      <c r="H118" s="67" t="n"/>
      <c r="I118" s="67" t="n"/>
      <c r="J118" s="67" t="n"/>
    </row>
    <row r="119" ht="18" customHeight="1">
      <c r="A119" s="50" t="n"/>
      <c r="B119" s="2" t="n"/>
      <c r="C119" s="54" t="n"/>
      <c r="D119" s="1" t="n"/>
      <c r="E119" s="54" t="n"/>
      <c r="F119" s="37" t="n"/>
      <c r="G119" s="67" t="n"/>
      <c r="H119" s="67" t="n"/>
      <c r="I119" s="67" t="n"/>
      <c r="J119" s="67" t="n"/>
    </row>
    <row r="120" ht="18" customHeight="1">
      <c r="A120" s="50" t="n"/>
      <c r="B120" s="2" t="n"/>
      <c r="C120" s="54" t="n"/>
      <c r="D120" s="1" t="n"/>
      <c r="E120" s="54" t="n"/>
      <c r="F120" s="37" t="n"/>
      <c r="G120" s="67" t="n"/>
      <c r="H120" s="67" t="n"/>
      <c r="I120" s="67" t="n"/>
      <c r="J120" s="67" t="n"/>
    </row>
    <row r="121" ht="18" customHeight="1">
      <c r="A121" s="50" t="n"/>
      <c r="B121" s="2" t="n"/>
      <c r="C121" s="54" t="n"/>
      <c r="D121" s="1" t="n"/>
      <c r="E121" s="54" t="n"/>
      <c r="F121" s="37" t="n"/>
      <c r="G121" s="67" t="n"/>
      <c r="H121" s="67" t="n"/>
      <c r="I121" s="67" t="n"/>
      <c r="J121" s="67" t="n"/>
    </row>
    <row r="122" ht="18" customHeight="1">
      <c r="A122" s="50" t="n"/>
      <c r="B122" s="2" t="n"/>
      <c r="C122" s="54" t="n"/>
      <c r="D122" s="1" t="n"/>
      <c r="E122" s="54" t="n"/>
      <c r="F122" s="37" t="n"/>
      <c r="G122" s="67" t="n"/>
      <c r="H122" s="67" t="n"/>
      <c r="I122" s="67" t="n"/>
      <c r="J122" s="67" t="n"/>
    </row>
    <row r="123" ht="18" customHeight="1">
      <c r="A123" s="50" t="n"/>
      <c r="B123" s="2" t="n"/>
      <c r="C123" s="54" t="n"/>
      <c r="D123" s="1" t="n"/>
      <c r="E123" s="54" t="n"/>
      <c r="F123" s="37" t="n"/>
      <c r="G123" s="67" t="n"/>
      <c r="H123" s="67" t="n"/>
      <c r="I123" s="67" t="n"/>
      <c r="J123" s="67" t="n"/>
    </row>
    <row r="124" ht="18" customHeight="1">
      <c r="A124" s="50" t="n"/>
      <c r="B124" s="2" t="n"/>
      <c r="C124" s="54" t="n"/>
      <c r="D124" s="1" t="n"/>
      <c r="E124" s="54" t="n"/>
      <c r="F124" s="37" t="n"/>
      <c r="G124" s="67" t="n"/>
      <c r="H124" s="67" t="n"/>
      <c r="I124" s="67" t="n"/>
      <c r="J124" s="67" t="n"/>
    </row>
    <row r="125" ht="18" customHeight="1">
      <c r="A125" s="50" t="n"/>
      <c r="B125" s="2" t="n"/>
      <c r="C125" s="54" t="n"/>
      <c r="D125" s="1" t="n"/>
      <c r="E125" s="54" t="n"/>
      <c r="F125" s="37" t="n"/>
      <c r="G125" s="67" t="n"/>
      <c r="H125" s="67" t="n"/>
      <c r="I125" s="67" t="n"/>
      <c r="J125" s="67" t="n"/>
    </row>
    <row r="126" ht="18" customHeight="1">
      <c r="A126" s="50" t="n"/>
      <c r="B126" s="2" t="n"/>
      <c r="C126" s="54" t="n"/>
      <c r="D126" s="1" t="n"/>
      <c r="E126" s="54" t="n"/>
      <c r="F126" s="37" t="n"/>
      <c r="G126" s="67" t="n"/>
      <c r="H126" s="67" t="n"/>
      <c r="I126" s="67" t="n"/>
      <c r="J126" s="67" t="n"/>
    </row>
    <row r="127" ht="18" customHeight="1">
      <c r="A127" s="50" t="n"/>
      <c r="B127" s="2" t="n"/>
      <c r="C127" s="54" t="n"/>
      <c r="D127" s="1" t="n"/>
      <c r="E127" s="54" t="n"/>
      <c r="F127" s="37" t="n"/>
      <c r="G127" s="67" t="n"/>
      <c r="H127" s="67" t="n"/>
      <c r="I127" s="67" t="n"/>
      <c r="J127" s="67" t="n"/>
    </row>
    <row r="128" ht="18" customHeight="1">
      <c r="A128" s="50" t="n"/>
      <c r="B128" s="2" t="n"/>
      <c r="C128" s="54" t="n"/>
      <c r="D128" s="1" t="n"/>
      <c r="E128" s="54" t="n"/>
      <c r="F128" s="37" t="n"/>
      <c r="G128" s="67" t="n"/>
      <c r="H128" s="67" t="n"/>
      <c r="I128" s="67" t="n"/>
      <c r="J128" s="67" t="n"/>
    </row>
    <row r="129" ht="18" customHeight="1">
      <c r="A129" s="50" t="n"/>
      <c r="B129" s="2" t="n"/>
      <c r="C129" s="54" t="n"/>
      <c r="D129" s="1" t="n"/>
      <c r="E129" s="54" t="n"/>
      <c r="F129" s="37" t="n"/>
      <c r="G129" s="67" t="n"/>
      <c r="H129" s="67" t="n"/>
      <c r="I129" s="67" t="n"/>
      <c r="J129" s="67" t="n"/>
    </row>
    <row r="130" ht="18" customHeight="1">
      <c r="A130" s="50" t="n"/>
      <c r="B130" s="2" t="n"/>
      <c r="C130" s="54" t="n"/>
      <c r="D130" s="1" t="n"/>
      <c r="E130" s="54" t="n"/>
      <c r="F130" s="37" t="n"/>
      <c r="G130" s="67" t="n"/>
      <c r="H130" s="67" t="n"/>
      <c r="I130" s="67" t="n"/>
      <c r="J130" s="67" t="n"/>
    </row>
    <row r="131" ht="18" customHeight="1">
      <c r="A131" s="50" t="n"/>
      <c r="B131" s="2" t="n"/>
      <c r="C131" s="54" t="n"/>
      <c r="D131" s="1" t="n"/>
      <c r="E131" s="54" t="n"/>
      <c r="F131" s="37" t="n"/>
      <c r="G131" s="67" t="n"/>
      <c r="H131" s="67" t="n"/>
      <c r="I131" s="67" t="n"/>
      <c r="J131" s="67" t="n"/>
    </row>
    <row r="132" ht="18" customHeight="1">
      <c r="A132" s="50" t="n"/>
      <c r="B132" s="2" t="n"/>
      <c r="C132" s="54" t="n"/>
      <c r="D132" s="1" t="n"/>
      <c r="E132" s="54" t="n"/>
      <c r="F132" s="37" t="n"/>
      <c r="G132" s="67" t="n"/>
      <c r="H132" s="67" t="n"/>
      <c r="I132" s="67" t="n"/>
      <c r="J132" s="67" t="n"/>
    </row>
    <row r="133" ht="18" customHeight="1">
      <c r="A133" s="50" t="n"/>
      <c r="B133" s="2" t="n"/>
      <c r="C133" s="54" t="n"/>
      <c r="D133" s="1" t="n"/>
      <c r="E133" s="54" t="n"/>
      <c r="F133" s="37" t="n"/>
      <c r="G133" s="67" t="n"/>
      <c r="H133" s="67" t="n"/>
      <c r="I133" s="67" t="n"/>
      <c r="J133" s="67" t="n"/>
    </row>
    <row r="134" ht="18" customHeight="1">
      <c r="A134" s="50" t="n"/>
      <c r="B134" s="2" t="n"/>
      <c r="C134" s="54" t="n"/>
      <c r="D134" s="1" t="n"/>
      <c r="E134" s="54" t="n"/>
      <c r="F134" s="37" t="n"/>
      <c r="G134" s="67" t="n"/>
      <c r="H134" s="67" t="n"/>
      <c r="I134" s="67" t="n"/>
      <c r="J134" s="67" t="n"/>
    </row>
    <row r="135" ht="18" customHeight="1">
      <c r="A135" s="50" t="n"/>
      <c r="B135" s="2" t="n"/>
      <c r="C135" s="54" t="n"/>
      <c r="D135" s="1" t="n"/>
      <c r="E135" s="54" t="n"/>
      <c r="F135" s="37" t="n"/>
      <c r="G135" s="67" t="n"/>
      <c r="H135" s="67" t="n"/>
      <c r="I135" s="67" t="n"/>
      <c r="J135" s="67" t="n"/>
    </row>
    <row r="136" ht="18" customHeight="1">
      <c r="A136" s="50" t="n"/>
      <c r="B136" s="2" t="n"/>
      <c r="C136" s="54" t="n"/>
      <c r="D136" s="1" t="n"/>
      <c r="E136" s="54" t="n"/>
      <c r="F136" s="37" t="n"/>
      <c r="G136" s="67" t="n"/>
      <c r="H136" s="67" t="n"/>
      <c r="I136" s="67" t="n"/>
      <c r="J136" s="67" t="n"/>
    </row>
    <row r="137" ht="18" customHeight="1">
      <c r="A137" s="50" t="n"/>
      <c r="B137" s="2" t="n"/>
      <c r="C137" s="54" t="n"/>
      <c r="D137" s="1" t="n"/>
      <c r="E137" s="54" t="n"/>
      <c r="F137" s="37" t="n"/>
      <c r="G137" s="67" t="n"/>
      <c r="H137" s="67" t="n"/>
      <c r="I137" s="67" t="n"/>
      <c r="J137" s="67" t="n"/>
    </row>
    <row r="138" ht="18" customHeight="1">
      <c r="A138" s="50" t="n"/>
      <c r="B138" s="2" t="n"/>
      <c r="C138" s="54" t="n"/>
      <c r="D138" s="1" t="n"/>
      <c r="E138" s="54" t="n"/>
      <c r="F138" s="37" t="n"/>
      <c r="G138" s="67" t="n"/>
      <c r="H138" s="67" t="n"/>
      <c r="I138" s="67" t="n"/>
      <c r="J138" s="67" t="n"/>
    </row>
    <row r="139" ht="18" customHeight="1">
      <c r="A139" s="50" t="n"/>
      <c r="B139" s="2" t="n"/>
      <c r="C139" s="54" t="n"/>
      <c r="D139" s="1" t="n"/>
      <c r="E139" s="54" t="n"/>
      <c r="F139" s="37" t="n"/>
      <c r="G139" s="67" t="n"/>
      <c r="H139" s="67" t="n"/>
      <c r="I139" s="67" t="n"/>
      <c r="J139" s="67" t="n"/>
    </row>
    <row r="140" ht="18" customHeight="1">
      <c r="A140" s="50" t="n"/>
      <c r="B140" s="2" t="n"/>
      <c r="C140" s="54" t="n"/>
      <c r="D140" s="1" t="n"/>
      <c r="E140" s="54" t="n"/>
      <c r="F140" s="37" t="n"/>
      <c r="G140" s="67" t="n"/>
      <c r="H140" s="67" t="n"/>
      <c r="I140" s="67" t="n"/>
      <c r="J140" s="67" t="n"/>
    </row>
    <row r="141" ht="18" customHeight="1">
      <c r="A141" s="50" t="n"/>
      <c r="B141" s="2" t="n"/>
      <c r="C141" s="54" t="n"/>
      <c r="D141" s="1" t="n"/>
      <c r="E141" s="54" t="n"/>
      <c r="F141" s="37" t="n"/>
      <c r="G141" s="67" t="n"/>
      <c r="H141" s="67" t="n"/>
      <c r="I141" s="67" t="n"/>
      <c r="J141" s="67" t="n"/>
    </row>
    <row r="142" ht="18" customHeight="1">
      <c r="A142" s="50" t="n"/>
      <c r="B142" s="2" t="n"/>
      <c r="C142" s="54" t="n"/>
      <c r="D142" s="1" t="n"/>
      <c r="E142" s="54" t="n"/>
      <c r="F142" s="37" t="n"/>
      <c r="G142" s="67" t="n"/>
      <c r="H142" s="67" t="n"/>
      <c r="I142" s="67" t="n"/>
      <c r="J142" s="67" t="n"/>
    </row>
    <row r="143" ht="18" customHeight="1">
      <c r="A143" s="50" t="n"/>
      <c r="B143" s="2" t="n"/>
      <c r="C143" s="54" t="n"/>
      <c r="D143" s="1" t="n"/>
      <c r="E143" s="54" t="n"/>
      <c r="F143" s="37" t="n"/>
      <c r="G143" s="67" t="n"/>
      <c r="H143" s="67" t="n"/>
      <c r="I143" s="67" t="n"/>
      <c r="J143" s="67" t="n"/>
    </row>
    <row r="144" ht="18" customHeight="1">
      <c r="A144" s="50" t="n"/>
      <c r="B144" s="2" t="n"/>
      <c r="C144" s="54" t="n"/>
      <c r="D144" s="1" t="n"/>
      <c r="E144" s="54" t="n"/>
      <c r="F144" s="37" t="n"/>
      <c r="G144" s="67" t="n"/>
      <c r="H144" s="67" t="n"/>
      <c r="I144" s="67" t="n"/>
      <c r="J144" s="67" t="n"/>
    </row>
    <row r="145" ht="18" customHeight="1">
      <c r="A145" s="50" t="n"/>
      <c r="B145" s="2" t="n"/>
      <c r="C145" s="54" t="n"/>
      <c r="D145" s="1" t="n"/>
      <c r="E145" s="54" t="n"/>
      <c r="F145" s="37" t="n"/>
      <c r="G145" s="67" t="n"/>
      <c r="H145" s="67" t="n"/>
      <c r="I145" s="67" t="n"/>
      <c r="J145" s="67" t="n"/>
    </row>
    <row r="146" ht="18" customHeight="1">
      <c r="A146" s="50" t="n"/>
      <c r="B146" s="2" t="n"/>
      <c r="C146" s="54" t="n"/>
      <c r="D146" s="1" t="n"/>
      <c r="E146" s="54" t="n"/>
      <c r="F146" s="37" t="n"/>
      <c r="G146" s="67" t="n"/>
      <c r="H146" s="67" t="n"/>
      <c r="I146" s="67" t="n"/>
      <c r="J146" s="67" t="n"/>
    </row>
    <row r="147" ht="18" customHeight="1">
      <c r="A147" s="50" t="n"/>
      <c r="B147" s="2" t="n"/>
      <c r="C147" s="54" t="n"/>
      <c r="D147" s="1" t="n"/>
      <c r="E147" s="54" t="n"/>
      <c r="F147" s="37" t="n"/>
      <c r="G147" s="67" t="n"/>
      <c r="H147" s="67" t="n"/>
      <c r="I147" s="67" t="n"/>
      <c r="J147" s="67" t="n"/>
    </row>
    <row r="148" ht="18" customHeight="1">
      <c r="A148" s="50" t="n"/>
      <c r="B148" s="2" t="n"/>
      <c r="C148" s="54" t="n"/>
      <c r="D148" s="1" t="n"/>
      <c r="E148" s="54" t="n"/>
      <c r="F148" s="37" t="n"/>
      <c r="G148" s="67" t="n"/>
      <c r="H148" s="67" t="n"/>
      <c r="I148" s="67" t="n"/>
      <c r="J148" s="67" t="n"/>
    </row>
    <row r="149" ht="18" customHeight="1">
      <c r="A149" s="50" t="n"/>
      <c r="B149" s="2" t="n"/>
      <c r="C149" s="54" t="n"/>
      <c r="D149" s="1" t="n"/>
      <c r="E149" s="54" t="n"/>
      <c r="F149" s="37" t="n"/>
      <c r="G149" s="67" t="n"/>
      <c r="H149" s="67" t="n"/>
      <c r="I149" s="67" t="n"/>
      <c r="J149" s="67" t="n"/>
    </row>
    <row r="150" ht="18" customHeight="1">
      <c r="A150" s="50" t="n"/>
      <c r="B150" s="2" t="n"/>
      <c r="C150" s="54" t="n"/>
      <c r="D150" s="1" t="n"/>
      <c r="E150" s="54" t="n"/>
      <c r="F150" s="37" t="n"/>
      <c r="G150" s="67" t="n"/>
      <c r="H150" s="67" t="n"/>
      <c r="I150" s="67" t="n"/>
      <c r="J150" s="67" t="n"/>
    </row>
    <row r="151" ht="18" customHeight="1">
      <c r="A151" s="50" t="n"/>
      <c r="B151" s="2" t="n"/>
      <c r="C151" s="54" t="n"/>
      <c r="D151" s="1" t="n"/>
      <c r="E151" s="54" t="n"/>
      <c r="F151" s="37" t="n"/>
      <c r="G151" s="67" t="n"/>
      <c r="H151" s="67" t="n"/>
      <c r="I151" s="67" t="n"/>
      <c r="J151" s="67" t="n"/>
    </row>
    <row r="152" ht="18" customHeight="1">
      <c r="A152" s="50" t="n"/>
      <c r="B152" s="2" t="n"/>
      <c r="C152" s="54" t="n"/>
      <c r="D152" s="1" t="n"/>
      <c r="E152" s="54" t="n"/>
      <c r="F152" s="37" t="n"/>
      <c r="G152" s="67" t="n"/>
      <c r="H152" s="67" t="n"/>
      <c r="I152" s="67" t="n"/>
      <c r="J152" s="67" t="n"/>
    </row>
    <row r="153" ht="18" customHeight="1">
      <c r="A153" s="50" t="n"/>
      <c r="B153" s="2" t="n"/>
      <c r="C153" s="54" t="n"/>
      <c r="D153" s="1" t="n"/>
      <c r="E153" s="54" t="n"/>
      <c r="F153" s="37" t="n"/>
      <c r="G153" s="67" t="n"/>
      <c r="H153" s="67" t="n"/>
      <c r="I153" s="67" t="n"/>
      <c r="J153" s="67" t="n"/>
    </row>
    <row r="154" ht="18" customHeight="1">
      <c r="A154" s="50" t="n"/>
      <c r="B154" s="2" t="n"/>
      <c r="C154" s="54" t="n"/>
      <c r="D154" s="1" t="n"/>
      <c r="E154" s="54" t="n"/>
      <c r="F154" s="37" t="n"/>
      <c r="G154" s="67" t="n"/>
      <c r="H154" s="67" t="n"/>
      <c r="I154" s="67" t="n"/>
      <c r="J154" s="67" t="n"/>
    </row>
    <row r="155" ht="18" customHeight="1">
      <c r="A155" s="50" t="n"/>
      <c r="B155" s="2" t="n"/>
      <c r="C155" s="54" t="n"/>
      <c r="D155" s="1" t="n"/>
      <c r="E155" s="54" t="n"/>
      <c r="F155" s="37" t="n"/>
      <c r="G155" s="67" t="n"/>
      <c r="H155" s="67" t="n"/>
      <c r="I155" s="67" t="n"/>
      <c r="J155" s="67" t="n"/>
    </row>
    <row r="156" ht="18" customHeight="1">
      <c r="A156" s="50" t="n"/>
      <c r="B156" s="2" t="n"/>
      <c r="C156" s="54" t="n"/>
      <c r="D156" s="1" t="n"/>
      <c r="E156" s="54" t="n"/>
      <c r="F156" s="37" t="n"/>
      <c r="G156" s="67" t="n"/>
      <c r="H156" s="67" t="n"/>
      <c r="I156" s="67" t="n"/>
      <c r="J156" s="67" t="n"/>
    </row>
    <row r="157" ht="18" customHeight="1">
      <c r="A157" s="50" t="n"/>
      <c r="B157" s="2" t="n"/>
      <c r="C157" s="54" t="n"/>
      <c r="D157" s="1" t="n"/>
      <c r="E157" s="54" t="n"/>
      <c r="F157" s="37" t="n"/>
      <c r="G157" s="67" t="n"/>
      <c r="H157" s="67" t="n"/>
      <c r="I157" s="67" t="n"/>
      <c r="J157" s="67" t="n"/>
    </row>
    <row r="158" ht="18" customHeight="1">
      <c r="A158" s="50" t="n"/>
      <c r="B158" s="2" t="n"/>
      <c r="C158" s="54" t="n"/>
      <c r="D158" s="1" t="n"/>
      <c r="E158" s="54" t="n"/>
      <c r="F158" s="37" t="n"/>
      <c r="G158" s="67" t="n"/>
      <c r="H158" s="67" t="n"/>
      <c r="I158" s="67" t="n"/>
      <c r="J158" s="67" t="n"/>
    </row>
    <row r="159" ht="18" customHeight="1">
      <c r="A159" s="50" t="n"/>
      <c r="B159" s="2" t="n"/>
      <c r="C159" s="54" t="n"/>
      <c r="D159" s="1" t="n"/>
      <c r="E159" s="54" t="n"/>
      <c r="F159" s="37" t="n"/>
      <c r="G159" s="67" t="n"/>
      <c r="H159" s="67" t="n"/>
      <c r="I159" s="67" t="n"/>
      <c r="J159" s="67" t="n"/>
    </row>
    <row r="160" ht="18" customHeight="1">
      <c r="A160" s="50" t="n"/>
      <c r="B160" s="2" t="n"/>
      <c r="C160" s="54" t="n"/>
      <c r="D160" s="1" t="n"/>
      <c r="E160" s="54" t="n"/>
      <c r="F160" s="37" t="n"/>
      <c r="G160" s="67" t="n"/>
      <c r="H160" s="67" t="n"/>
      <c r="I160" s="67" t="n"/>
      <c r="J160" s="67" t="n"/>
    </row>
    <row r="161" ht="18" customHeight="1">
      <c r="A161" s="50" t="n"/>
      <c r="B161" s="2" t="n"/>
      <c r="C161" s="54" t="n"/>
      <c r="D161" s="1" t="n"/>
      <c r="E161" s="54" t="n"/>
      <c r="F161" s="37" t="n"/>
      <c r="G161" s="67" t="n"/>
      <c r="H161" s="67" t="n"/>
      <c r="I161" s="67" t="n"/>
      <c r="J161" s="67" t="n"/>
    </row>
    <row r="162" ht="18" customHeight="1">
      <c r="A162" s="50" t="n"/>
      <c r="B162" s="2" t="n"/>
      <c r="C162" s="54" t="n"/>
      <c r="D162" s="1" t="n"/>
      <c r="E162" s="54" t="n"/>
      <c r="F162" s="37" t="n"/>
      <c r="G162" s="67" t="n"/>
      <c r="H162" s="67" t="n"/>
      <c r="I162" s="67" t="n"/>
      <c r="J162" s="67" t="n"/>
    </row>
    <row r="163" ht="18" customHeight="1">
      <c r="A163" s="50" t="n"/>
      <c r="B163" s="2" t="n"/>
      <c r="C163" s="54" t="n"/>
      <c r="D163" s="1" t="n"/>
      <c r="E163" s="54" t="n"/>
      <c r="F163" s="37" t="n"/>
      <c r="G163" s="67" t="n"/>
      <c r="H163" s="67" t="n"/>
      <c r="I163" s="67" t="n"/>
      <c r="J163" s="67" t="n"/>
    </row>
    <row r="164" ht="18" customHeight="1">
      <c r="A164" s="50" t="n"/>
      <c r="B164" s="2" t="n"/>
      <c r="C164" s="54" t="n"/>
      <c r="D164" s="1" t="n"/>
      <c r="E164" s="54" t="n"/>
      <c r="F164" s="37" t="n"/>
      <c r="G164" s="67" t="n"/>
      <c r="H164" s="67" t="n"/>
      <c r="I164" s="67" t="n"/>
      <c r="J164" s="67" t="n"/>
    </row>
    <row r="165" ht="18" customHeight="1">
      <c r="A165" s="50" t="n"/>
      <c r="B165" s="2" t="n"/>
      <c r="C165" s="54" t="n"/>
      <c r="D165" s="1" t="n"/>
      <c r="E165" s="54" t="n"/>
      <c r="F165" s="37" t="n"/>
      <c r="G165" s="67" t="n"/>
      <c r="H165" s="67" t="n"/>
      <c r="I165" s="67" t="n"/>
      <c r="J165" s="67" t="n"/>
    </row>
    <row r="166" ht="18" customHeight="1">
      <c r="A166" s="50" t="n"/>
      <c r="B166" s="2" t="n"/>
      <c r="C166" s="54" t="n"/>
      <c r="D166" s="1" t="n"/>
      <c r="E166" s="54" t="n"/>
      <c r="F166" s="37" t="n"/>
      <c r="G166" s="67" t="n"/>
      <c r="H166" s="67" t="n"/>
      <c r="I166" s="67" t="n"/>
      <c r="J166" s="67" t="n"/>
    </row>
    <row r="167" ht="18" customHeight="1">
      <c r="A167" s="50" t="n"/>
      <c r="B167" s="2" t="n"/>
      <c r="C167" s="54" t="n"/>
      <c r="D167" s="1" t="n"/>
      <c r="E167" s="54" t="n"/>
      <c r="F167" s="37" t="n"/>
      <c r="G167" s="67" t="n"/>
      <c r="H167" s="67" t="n"/>
      <c r="I167" s="67" t="n"/>
      <c r="J167" s="67" t="n"/>
    </row>
    <row r="168" ht="18" customHeight="1">
      <c r="A168" s="50" t="n"/>
      <c r="B168" s="2" t="n"/>
      <c r="C168" s="54" t="n"/>
      <c r="D168" s="1" t="n"/>
      <c r="E168" s="54" t="n"/>
      <c r="F168" s="37" t="n"/>
      <c r="G168" s="67" t="n"/>
      <c r="H168" s="67" t="n"/>
      <c r="I168" s="67" t="n"/>
      <c r="J168" s="67" t="n"/>
    </row>
    <row r="169" ht="18" customHeight="1">
      <c r="A169" s="50" t="n"/>
      <c r="B169" s="2" t="n"/>
      <c r="C169" s="54" t="n"/>
      <c r="D169" s="1" t="n"/>
      <c r="E169" s="54" t="n"/>
      <c r="F169" s="37" t="n"/>
      <c r="G169" s="67" t="n"/>
      <c r="H169" s="67" t="n"/>
      <c r="I169" s="67" t="n"/>
      <c r="J169" s="67" t="n"/>
    </row>
    <row r="170" ht="18" customHeight="1">
      <c r="A170" s="50" t="n"/>
      <c r="B170" s="2" t="n"/>
      <c r="C170" s="54" t="n"/>
      <c r="D170" s="1" t="n"/>
      <c r="E170" s="54" t="n"/>
      <c r="F170" s="37" t="n"/>
      <c r="G170" s="67" t="n"/>
      <c r="H170" s="67" t="n"/>
      <c r="I170" s="67" t="n"/>
      <c r="J170" s="67" t="n"/>
    </row>
    <row r="171" ht="18" customHeight="1">
      <c r="A171" s="50" t="n"/>
      <c r="B171" s="2" t="n"/>
      <c r="C171" s="54" t="n"/>
      <c r="D171" s="1" t="n"/>
      <c r="E171" s="54" t="n"/>
      <c r="F171" s="37" t="n"/>
      <c r="G171" s="67" t="n"/>
      <c r="H171" s="67" t="n"/>
      <c r="I171" s="67" t="n"/>
      <c r="J171" s="67" t="n"/>
    </row>
    <row r="172" ht="18" customHeight="1">
      <c r="A172" s="50" t="n"/>
      <c r="B172" s="2" t="n"/>
      <c r="C172" s="54" t="n"/>
      <c r="D172" s="1" t="n"/>
      <c r="E172" s="54" t="n"/>
      <c r="F172" s="37" t="n"/>
      <c r="G172" s="67" t="n"/>
      <c r="H172" s="67" t="n"/>
      <c r="I172" s="67" t="n"/>
      <c r="J172" s="67" t="n"/>
    </row>
    <row r="173" ht="18" customHeight="1">
      <c r="A173" s="50" t="n"/>
      <c r="B173" s="2" t="n"/>
      <c r="C173" s="54" t="n"/>
      <c r="D173" s="1" t="n"/>
      <c r="E173" s="54" t="n"/>
      <c r="F173" s="37" t="n"/>
      <c r="G173" s="67" t="n"/>
      <c r="H173" s="67" t="n"/>
      <c r="I173" s="67" t="n"/>
      <c r="J173" s="67" t="n"/>
    </row>
    <row r="174" ht="18" customHeight="1">
      <c r="A174" s="50" t="n"/>
      <c r="B174" s="2" t="n"/>
      <c r="C174" s="54" t="n"/>
      <c r="D174" s="1" t="n"/>
      <c r="E174" s="54" t="n"/>
      <c r="F174" s="37" t="n"/>
      <c r="G174" s="67" t="n"/>
      <c r="H174" s="67" t="n"/>
      <c r="I174" s="67" t="n"/>
      <c r="J174" s="67" t="n"/>
    </row>
    <row r="175" ht="18" customHeight="1">
      <c r="A175" s="50" t="n"/>
      <c r="B175" s="2" t="n"/>
      <c r="C175" s="54" t="n"/>
      <c r="D175" s="1" t="n"/>
      <c r="E175" s="54" t="n"/>
      <c r="F175" s="37" t="n"/>
      <c r="G175" s="67" t="n"/>
      <c r="H175" s="67" t="n"/>
      <c r="I175" s="67" t="n"/>
      <c r="J175" s="67" t="n"/>
    </row>
    <row r="176" ht="18" customHeight="1">
      <c r="A176" s="50" t="n"/>
      <c r="B176" s="2" t="n"/>
      <c r="C176" s="54" t="n"/>
      <c r="D176" s="1" t="n"/>
      <c r="E176" s="54" t="n"/>
      <c r="F176" s="37" t="n"/>
      <c r="G176" s="67" t="n"/>
      <c r="H176" s="67" t="n"/>
      <c r="I176" s="67" t="n"/>
      <c r="J176" s="67" t="n"/>
    </row>
    <row r="177" ht="18" customHeight="1">
      <c r="A177" s="50" t="n"/>
      <c r="B177" s="2" t="n"/>
      <c r="C177" s="54" t="n"/>
      <c r="D177" s="1" t="n"/>
      <c r="E177" s="54" t="n"/>
      <c r="F177" s="37" t="n"/>
      <c r="G177" s="67" t="n"/>
      <c r="H177" s="67" t="n"/>
      <c r="I177" s="67" t="n"/>
      <c r="J177" s="67" t="n"/>
    </row>
    <row r="178" ht="18" customHeight="1">
      <c r="A178" s="50" t="n"/>
      <c r="B178" s="2" t="n"/>
      <c r="C178" s="54" t="n"/>
      <c r="D178" s="1" t="n"/>
      <c r="E178" s="54" t="n"/>
      <c r="F178" s="37" t="n"/>
      <c r="G178" s="67" t="n"/>
      <c r="H178" s="67" t="n"/>
      <c r="I178" s="67" t="n"/>
      <c r="J178" s="67" t="n"/>
    </row>
    <row r="179" ht="18" customHeight="1">
      <c r="A179" s="50" t="n"/>
      <c r="B179" s="2" t="n"/>
      <c r="C179" s="54" t="n"/>
      <c r="D179" s="1" t="n"/>
      <c r="E179" s="54" t="n"/>
      <c r="F179" s="37" t="n"/>
      <c r="G179" s="67" t="n"/>
      <c r="H179" s="67" t="n"/>
      <c r="I179" s="67" t="n"/>
      <c r="J179" s="67" t="n"/>
    </row>
    <row r="180" ht="18" customHeight="1">
      <c r="A180" s="50" t="n"/>
      <c r="B180" s="2" t="n"/>
      <c r="C180" s="54" t="n"/>
      <c r="D180" s="1" t="n"/>
      <c r="E180" s="54" t="n"/>
      <c r="F180" s="37" t="n"/>
      <c r="G180" s="67" t="n"/>
      <c r="H180" s="67" t="n"/>
      <c r="I180" s="67" t="n"/>
      <c r="J180" s="67" t="n"/>
    </row>
    <row r="181" ht="18" customHeight="1">
      <c r="A181" s="50" t="n"/>
      <c r="B181" s="2" t="n"/>
      <c r="C181" s="54" t="n"/>
      <c r="D181" s="1" t="n"/>
      <c r="E181" s="54" t="n"/>
      <c r="F181" s="37" t="n"/>
      <c r="G181" s="67" t="n"/>
      <c r="H181" s="67" t="n"/>
      <c r="I181" s="67" t="n"/>
      <c r="J181" s="67" t="n"/>
    </row>
    <row r="182" ht="18" customHeight="1">
      <c r="A182" s="50" t="n"/>
      <c r="B182" s="2" t="n"/>
      <c r="C182" s="54" t="n"/>
      <c r="D182" s="1" t="n"/>
      <c r="E182" s="54" t="n"/>
      <c r="F182" s="37" t="n"/>
      <c r="G182" s="67" t="n"/>
      <c r="H182" s="67" t="n"/>
      <c r="I182" s="67" t="n"/>
      <c r="J182" s="67" t="n"/>
    </row>
    <row r="183" ht="18" customHeight="1">
      <c r="A183" s="50" t="n"/>
      <c r="B183" s="2" t="n"/>
      <c r="C183" s="54" t="n"/>
      <c r="D183" s="1" t="n"/>
      <c r="E183" s="54" t="n"/>
      <c r="F183" s="37" t="n"/>
      <c r="G183" s="67" t="n"/>
      <c r="H183" s="67" t="n"/>
      <c r="I183" s="67" t="n"/>
      <c r="J183" s="67" t="n"/>
    </row>
    <row r="184" ht="18" customHeight="1">
      <c r="A184" s="50" t="n"/>
      <c r="B184" s="2" t="n"/>
      <c r="C184" s="54" t="n"/>
      <c r="D184" s="1" t="n"/>
      <c r="E184" s="54" t="n"/>
      <c r="F184" s="37" t="n"/>
      <c r="G184" s="67" t="n"/>
      <c r="H184" s="67" t="n"/>
      <c r="I184" s="67" t="n"/>
      <c r="J184" s="67" t="n"/>
    </row>
    <row r="185" ht="18" customHeight="1">
      <c r="A185" s="50" t="n"/>
      <c r="B185" s="2" t="n"/>
      <c r="C185" s="54" t="n"/>
      <c r="D185" s="1" t="n"/>
      <c r="E185" s="54" t="n"/>
      <c r="F185" s="37" t="n"/>
      <c r="G185" s="67" t="n"/>
      <c r="H185" s="67" t="n"/>
      <c r="I185" s="67" t="n"/>
      <c r="J185" s="67" t="n"/>
    </row>
    <row r="186" ht="18" customHeight="1">
      <c r="A186" s="50" t="n"/>
      <c r="B186" s="2" t="n"/>
      <c r="C186" s="54" t="n"/>
      <c r="D186" s="1" t="n"/>
      <c r="E186" s="54" t="n"/>
      <c r="F186" s="37" t="n"/>
      <c r="G186" s="67" t="n"/>
      <c r="H186" s="67" t="n"/>
      <c r="I186" s="67" t="n"/>
      <c r="J186" s="67" t="n"/>
    </row>
    <row r="187" ht="18" customHeight="1">
      <c r="A187" s="50" t="n"/>
      <c r="B187" s="2" t="n"/>
      <c r="C187" s="54" t="n"/>
      <c r="D187" s="1" t="n"/>
      <c r="E187" s="54" t="n"/>
      <c r="F187" s="37" t="n"/>
      <c r="G187" s="67" t="n"/>
      <c r="H187" s="67" t="n"/>
      <c r="I187" s="67" t="n"/>
      <c r="J187" s="67" t="n"/>
    </row>
    <row r="188" ht="18" customHeight="1">
      <c r="A188" s="50" t="n"/>
      <c r="B188" s="2" t="n"/>
      <c r="C188" s="54" t="n"/>
      <c r="D188" s="1" t="n"/>
      <c r="E188" s="54" t="n"/>
      <c r="F188" s="37" t="n"/>
      <c r="G188" s="67" t="n"/>
      <c r="H188" s="67" t="n"/>
      <c r="I188" s="67" t="n"/>
      <c r="J188" s="67" t="n"/>
    </row>
    <row r="189" ht="18" customHeight="1">
      <c r="A189" s="50" t="n"/>
      <c r="B189" s="2" t="n"/>
      <c r="C189" s="54" t="n"/>
      <c r="D189" s="1" t="n"/>
      <c r="E189" s="54" t="n"/>
      <c r="F189" s="37" t="n"/>
      <c r="G189" s="67" t="n"/>
      <c r="H189" s="67" t="n"/>
      <c r="I189" s="67" t="n"/>
      <c r="J189" s="67" t="n"/>
    </row>
    <row r="190" ht="18" customHeight="1">
      <c r="A190" s="50" t="n"/>
      <c r="B190" s="2" t="n"/>
      <c r="C190" s="54" t="n"/>
      <c r="D190" s="1" t="n"/>
      <c r="E190" s="54" t="n"/>
      <c r="F190" s="37" t="n"/>
      <c r="G190" s="67" t="n"/>
      <c r="H190" s="67" t="n"/>
      <c r="I190" s="67" t="n"/>
      <c r="J190" s="67" t="n"/>
    </row>
    <row r="191" ht="18" customHeight="1">
      <c r="A191" s="50" t="n"/>
      <c r="B191" s="2" t="n"/>
      <c r="C191" s="54" t="n"/>
      <c r="D191" s="1" t="n"/>
      <c r="E191" s="54" t="n"/>
      <c r="F191" s="37" t="n"/>
      <c r="G191" s="67" t="n"/>
      <c r="H191" s="67" t="n"/>
      <c r="I191" s="67" t="n"/>
      <c r="J191" s="67" t="n"/>
    </row>
    <row r="192" ht="18" customHeight="1">
      <c r="A192" s="50" t="n"/>
      <c r="B192" s="2" t="n"/>
      <c r="C192" s="54" t="n"/>
      <c r="D192" s="1" t="n"/>
      <c r="E192" s="54" t="n"/>
      <c r="F192" s="37" t="n"/>
      <c r="G192" s="67" t="n"/>
      <c r="H192" s="67" t="n"/>
      <c r="I192" s="67" t="n"/>
      <c r="J192" s="67" t="n"/>
    </row>
    <row r="193" ht="18" customHeight="1">
      <c r="A193" s="50" t="n"/>
      <c r="B193" s="2" t="n"/>
      <c r="C193" s="54" t="n"/>
      <c r="D193" s="1" t="n"/>
      <c r="E193" s="54" t="n"/>
      <c r="F193" s="37" t="n"/>
      <c r="G193" s="67" t="n"/>
      <c r="H193" s="67" t="n"/>
      <c r="I193" s="67" t="n"/>
      <c r="J193" s="67" t="n"/>
    </row>
    <row r="194" ht="18" customHeight="1">
      <c r="A194" s="50" t="n"/>
      <c r="B194" s="2" t="n"/>
      <c r="C194" s="54" t="n"/>
      <c r="D194" s="1" t="n"/>
      <c r="E194" s="54" t="n"/>
      <c r="F194" s="37" t="n"/>
      <c r="G194" s="67" t="n"/>
      <c r="H194" s="67" t="n"/>
      <c r="I194" s="67" t="n"/>
      <c r="J194" s="67" t="n"/>
    </row>
    <row r="195" ht="18" customHeight="1">
      <c r="A195" s="50" t="n"/>
      <c r="B195" s="2" t="n"/>
      <c r="C195" s="54" t="n"/>
      <c r="D195" s="1" t="n"/>
      <c r="E195" s="54" t="n"/>
      <c r="F195" s="37" t="n"/>
      <c r="G195" s="67" t="n"/>
      <c r="H195" s="67" t="n"/>
      <c r="I195" s="67" t="n"/>
      <c r="J195" s="67" t="n"/>
    </row>
    <row r="196" ht="18" customHeight="1">
      <c r="A196" s="50" t="n"/>
      <c r="B196" s="2" t="n"/>
      <c r="C196" s="54" t="n"/>
      <c r="D196" s="1" t="n"/>
      <c r="E196" s="54" t="n"/>
      <c r="F196" s="37" t="n"/>
      <c r="G196" s="67" t="n"/>
      <c r="H196" s="67" t="n"/>
      <c r="I196" s="67" t="n"/>
      <c r="J196" s="67" t="n"/>
    </row>
    <row r="197" ht="18" customHeight="1">
      <c r="A197" s="50" t="n"/>
      <c r="B197" s="2" t="n"/>
      <c r="C197" s="54" t="n"/>
      <c r="D197" s="1" t="n"/>
      <c r="E197" s="54" t="n"/>
      <c r="F197" s="37" t="n"/>
      <c r="G197" s="67" t="n"/>
      <c r="H197" s="67" t="n"/>
      <c r="I197" s="67" t="n"/>
      <c r="J197" s="67" t="n"/>
    </row>
    <row r="198" ht="18" customHeight="1">
      <c r="A198" s="50" t="n"/>
      <c r="B198" s="2" t="n"/>
      <c r="C198" s="54" t="n"/>
      <c r="D198" s="1" t="n"/>
      <c r="E198" s="54" t="n"/>
      <c r="F198" s="37" t="n"/>
      <c r="G198" s="67" t="n"/>
      <c r="H198" s="67" t="n"/>
      <c r="I198" s="67" t="n"/>
      <c r="J198" s="67" t="n"/>
    </row>
    <row r="199" ht="18" customHeight="1">
      <c r="A199" s="50" t="n"/>
      <c r="B199" s="2" t="n"/>
      <c r="C199" s="54" t="n"/>
      <c r="D199" s="1" t="n"/>
      <c r="E199" s="54" t="n"/>
      <c r="F199" s="37" t="n"/>
      <c r="G199" s="67" t="n"/>
      <c r="H199" s="67" t="n"/>
      <c r="I199" s="67" t="n"/>
      <c r="J199" s="67" t="n"/>
    </row>
    <row r="200" ht="18" customHeight="1">
      <c r="A200" s="50" t="n"/>
      <c r="B200" s="2" t="n"/>
      <c r="C200" s="54" t="n"/>
      <c r="D200" s="1" t="n"/>
      <c r="E200" s="54" t="n"/>
      <c r="F200" s="37" t="n"/>
      <c r="G200" s="67" t="n"/>
      <c r="H200" s="67" t="n"/>
      <c r="I200" s="67" t="n"/>
      <c r="J200" s="67" t="n"/>
    </row>
    <row r="201" ht="18" customHeight="1">
      <c r="A201" s="50" t="n"/>
      <c r="B201" s="2" t="n"/>
      <c r="C201" s="54" t="n"/>
      <c r="D201" s="1" t="n"/>
      <c r="E201" s="54" t="n"/>
      <c r="F201" s="37" t="n"/>
      <c r="G201" s="67" t="n"/>
      <c r="H201" s="67" t="n"/>
      <c r="I201" s="67" t="n"/>
      <c r="J201" s="67" t="n"/>
    </row>
    <row r="202" ht="18" customHeight="1">
      <c r="A202" s="50" t="n"/>
      <c r="B202" s="2" t="n"/>
      <c r="C202" s="54" t="n"/>
      <c r="D202" s="1" t="n"/>
      <c r="E202" s="54" t="n"/>
      <c r="F202" s="37" t="n"/>
      <c r="G202" s="67" t="n"/>
      <c r="H202" s="67" t="n"/>
      <c r="I202" s="67" t="n"/>
      <c r="J202" s="67" t="n"/>
    </row>
    <row r="203" ht="18" customHeight="1">
      <c r="A203" s="50" t="n"/>
      <c r="B203" s="2" t="n"/>
      <c r="C203" s="54" t="n"/>
      <c r="D203" s="1" t="n"/>
      <c r="E203" s="54" t="n"/>
      <c r="F203" s="37" t="n"/>
      <c r="G203" s="67" t="n"/>
      <c r="H203" s="67" t="n"/>
      <c r="I203" s="67" t="n"/>
      <c r="J203" s="67" t="n"/>
    </row>
    <row r="204" ht="18" customHeight="1">
      <c r="A204" s="50" t="n"/>
      <c r="B204" s="2" t="n"/>
      <c r="C204" s="54" t="n"/>
      <c r="D204" s="1" t="n"/>
      <c r="E204" s="54" t="n"/>
      <c r="F204" s="37" t="n"/>
      <c r="G204" s="67" t="n"/>
      <c r="H204" s="67" t="n"/>
      <c r="I204" s="67" t="n"/>
      <c r="J204" s="67" t="n"/>
    </row>
    <row r="205" ht="18" customHeight="1">
      <c r="A205" s="50" t="n"/>
      <c r="B205" s="2" t="n"/>
      <c r="C205" s="54" t="n"/>
      <c r="D205" s="1" t="n"/>
      <c r="E205" s="54" t="n"/>
      <c r="F205" s="37" t="n"/>
      <c r="G205" s="67" t="n"/>
      <c r="H205" s="67" t="n"/>
      <c r="I205" s="67" t="n"/>
      <c r="J205" s="67" t="n"/>
    </row>
    <row r="206" ht="18" customHeight="1">
      <c r="A206" s="50" t="n"/>
      <c r="B206" s="2" t="n"/>
      <c r="C206" s="54" t="n"/>
      <c r="D206" s="1" t="n"/>
      <c r="E206" s="54" t="n"/>
      <c r="F206" s="37" t="n"/>
      <c r="G206" s="67" t="n"/>
      <c r="H206" s="67" t="n"/>
      <c r="I206" s="67" t="n"/>
      <c r="J206" s="67" t="n"/>
    </row>
    <row r="207" ht="18" customHeight="1">
      <c r="A207" s="50" t="n"/>
      <c r="B207" s="2" t="n"/>
      <c r="C207" s="54" t="n"/>
      <c r="D207" s="1" t="n"/>
      <c r="E207" s="54" t="n"/>
      <c r="F207" s="37" t="n"/>
      <c r="G207" s="67" t="n"/>
      <c r="H207" s="67" t="n"/>
      <c r="I207" s="67" t="n"/>
      <c r="J207" s="67" t="n"/>
    </row>
    <row r="208" ht="18" customHeight="1">
      <c r="A208" s="50" t="n"/>
      <c r="B208" s="2" t="n"/>
      <c r="C208" s="54" t="n"/>
      <c r="D208" s="1" t="n"/>
      <c r="E208" s="54" t="n"/>
      <c r="F208" s="37" t="n"/>
      <c r="G208" s="67" t="n"/>
      <c r="H208" s="67" t="n"/>
      <c r="I208" s="67" t="n"/>
      <c r="J208" s="67" t="n"/>
    </row>
    <row r="209" ht="18" customHeight="1">
      <c r="A209" s="50" t="n"/>
      <c r="B209" s="2" t="n"/>
      <c r="C209" s="54" t="n"/>
      <c r="D209" s="1" t="n"/>
      <c r="E209" s="54" t="n"/>
      <c r="F209" s="37" t="n"/>
      <c r="G209" s="67" t="n"/>
      <c r="H209" s="67" t="n"/>
      <c r="I209" s="67" t="n"/>
      <c r="J209" s="67" t="n"/>
    </row>
    <row r="210" ht="18" customHeight="1">
      <c r="A210" s="50" t="n"/>
      <c r="B210" s="2" t="n"/>
      <c r="C210" s="54" t="n"/>
      <c r="D210" s="1" t="n"/>
      <c r="E210" s="54" t="n"/>
      <c r="F210" s="37" t="n"/>
      <c r="G210" s="67" t="n"/>
      <c r="H210" s="67" t="n"/>
      <c r="I210" s="67" t="n"/>
      <c r="J210" s="67" t="n"/>
    </row>
    <row r="211" ht="18" customHeight="1">
      <c r="A211" s="50" t="n"/>
      <c r="B211" s="2" t="n"/>
      <c r="C211" s="54" t="n"/>
      <c r="D211" s="1" t="n"/>
      <c r="E211" s="54" t="n"/>
      <c r="F211" s="37" t="n"/>
      <c r="G211" s="67" t="n"/>
      <c r="H211" s="67" t="n"/>
      <c r="I211" s="67" t="n"/>
      <c r="J211" s="67" t="n"/>
    </row>
    <row r="212" ht="18" customHeight="1">
      <c r="A212" s="50" t="n"/>
      <c r="B212" s="2" t="n"/>
      <c r="C212" s="54" t="n"/>
      <c r="D212" s="1" t="n"/>
      <c r="E212" s="54" t="n"/>
      <c r="F212" s="37" t="n"/>
      <c r="G212" s="67" t="n"/>
      <c r="H212" s="67" t="n"/>
      <c r="I212" s="67" t="n"/>
      <c r="J212" s="67" t="n"/>
    </row>
    <row r="213" ht="18" customHeight="1">
      <c r="A213" s="50" t="n"/>
      <c r="B213" s="2" t="n"/>
      <c r="C213" s="54" t="n"/>
      <c r="D213" s="1" t="n"/>
      <c r="E213" s="54" t="n"/>
      <c r="F213" s="37" t="n"/>
      <c r="G213" s="67" t="n"/>
      <c r="H213" s="67" t="n"/>
      <c r="I213" s="67" t="n"/>
      <c r="J213" s="67" t="n"/>
    </row>
    <row r="214" ht="18" customHeight="1">
      <c r="A214" s="50" t="n"/>
      <c r="B214" s="2" t="n"/>
      <c r="C214" s="54" t="n"/>
      <c r="D214" s="1" t="n"/>
      <c r="E214" s="54" t="n"/>
      <c r="F214" s="37" t="n"/>
      <c r="G214" s="67" t="n"/>
      <c r="H214" s="67" t="n"/>
      <c r="I214" s="67" t="n"/>
      <c r="J214" s="67" t="n"/>
    </row>
    <row r="215" ht="18" customHeight="1">
      <c r="A215" s="52" t="n"/>
      <c r="B215" s="52" t="n"/>
    </row>
    <row r="216" ht="18" customHeight="1">
      <c r="A216" s="52" t="n"/>
      <c r="B216" s="52" t="n"/>
    </row>
    <row r="217" ht="18" customHeight="1">
      <c r="A217" s="52" t="n"/>
      <c r="B217" s="52" t="n"/>
    </row>
    <row r="218" ht="18" customHeight="1">
      <c r="A218" s="52" t="n"/>
      <c r="B218" s="52" t="n"/>
    </row>
    <row r="219" ht="18" customHeight="1">
      <c r="A219" s="52" t="n"/>
      <c r="B219" s="52" t="n"/>
    </row>
    <row r="220" ht="18" customHeight="1">
      <c r="A220" s="52" t="n"/>
      <c r="B220" s="52" t="n"/>
    </row>
    <row r="221" ht="18" customHeight="1">
      <c r="A221" s="52" t="n"/>
      <c r="B221" s="52" t="n"/>
    </row>
    <row r="222" ht="18" customHeight="1">
      <c r="A222" s="52" t="n"/>
      <c r="B222" s="52" t="n"/>
    </row>
    <row r="223" ht="18" customHeight="1">
      <c r="A223" s="52" t="n"/>
      <c r="B223" s="52" t="n"/>
    </row>
    <row r="224" ht="18" customHeight="1">
      <c r="A224" s="52" t="n"/>
      <c r="B224" s="52" t="n"/>
    </row>
    <row r="225" ht="18" customHeight="1">
      <c r="A225" s="52" t="n"/>
      <c r="B225" s="52" t="n"/>
    </row>
    <row r="226" ht="18" customHeight="1">
      <c r="A226" s="52" t="n"/>
      <c r="B226" s="52" t="n"/>
    </row>
    <row r="227" ht="18" customHeight="1">
      <c r="A227" s="52" t="n"/>
      <c r="B227" s="52" t="n"/>
    </row>
    <row r="228" ht="18" customHeight="1">
      <c r="A228" s="52" t="n"/>
      <c r="B228" s="52" t="n"/>
    </row>
    <row r="229" ht="18" customHeight="1">
      <c r="A229" s="52" t="n"/>
      <c r="B229" s="52" t="n"/>
    </row>
    <row r="230" ht="18" customHeight="1">
      <c r="A230" s="52" t="n"/>
      <c r="B230" s="52" t="n"/>
    </row>
    <row r="231" ht="18" customHeight="1">
      <c r="A231" s="52" t="n"/>
      <c r="B231" s="52" t="n"/>
    </row>
    <row r="232" ht="18" customHeight="1">
      <c r="A232" s="52" t="n"/>
      <c r="B232" s="52" t="n"/>
    </row>
    <row r="233" ht="18" customHeight="1">
      <c r="A233" s="52" t="n"/>
      <c r="B233" s="52" t="n"/>
    </row>
    <row r="234" ht="18" customHeight="1">
      <c r="A234" s="52" t="n"/>
      <c r="B234" s="52" t="n"/>
    </row>
    <row r="235" ht="18" customHeight="1">
      <c r="A235" s="52" t="n"/>
      <c r="B235" s="52" t="n"/>
    </row>
    <row r="236" ht="18" customHeight="1">
      <c r="A236" s="52" t="n"/>
      <c r="B236" s="52" t="n"/>
    </row>
    <row r="237" ht="18" customHeight="1">
      <c r="A237" s="52" t="n"/>
      <c r="B237" s="52" t="n"/>
    </row>
    <row r="238" ht="18" customHeight="1">
      <c r="A238" s="52" t="n"/>
      <c r="B238" s="52" t="n"/>
    </row>
    <row r="239" ht="18" customHeight="1">
      <c r="A239" s="52" t="n"/>
      <c r="B239" s="52" t="n"/>
    </row>
    <row r="240" ht="18" customHeight="1">
      <c r="A240" s="52" t="n"/>
      <c r="B240" s="52" t="n"/>
    </row>
    <row r="241" ht="18" customHeight="1">
      <c r="A241" s="52" t="n"/>
      <c r="B241" s="52" t="n"/>
    </row>
    <row r="242" ht="18" customHeight="1">
      <c r="A242" s="52" t="n"/>
      <c r="B242" s="52" t="n"/>
    </row>
    <row r="243" ht="18" customHeight="1">
      <c r="A243" s="52" t="n"/>
      <c r="B243" s="52" t="n"/>
    </row>
    <row r="244" ht="18" customHeight="1">
      <c r="A244" s="52" t="n"/>
      <c r="B244" s="52" t="n"/>
    </row>
    <row r="245" ht="18" customHeight="1">
      <c r="A245" s="52" t="n"/>
      <c r="B245" s="52" t="n"/>
    </row>
    <row r="246" ht="18" customHeight="1">
      <c r="A246" s="52" t="n"/>
      <c r="B246" s="52" t="n"/>
    </row>
    <row r="247" ht="18" customHeight="1">
      <c r="A247" s="52" t="n"/>
      <c r="B247" s="52" t="n"/>
    </row>
    <row r="248" ht="18" customHeight="1">
      <c r="A248" s="52" t="n"/>
      <c r="B248" s="52" t="n"/>
    </row>
    <row r="249" ht="18" customHeight="1">
      <c r="A249" s="52" t="n"/>
      <c r="B249" s="52" t="n"/>
    </row>
    <row r="250" ht="18" customHeight="1">
      <c r="A250" s="52" t="n"/>
      <c r="B250" s="52" t="n"/>
    </row>
    <row r="251" ht="18" customHeight="1">
      <c r="A251" s="52" t="n"/>
      <c r="B251" s="52" t="n"/>
    </row>
    <row r="252" ht="18" customHeight="1">
      <c r="A252" s="52" t="n"/>
      <c r="B252" s="52" t="n"/>
    </row>
    <row r="253" ht="18" customHeight="1">
      <c r="A253" s="52" t="n"/>
      <c r="B253" s="52" t="n"/>
    </row>
    <row r="254" ht="18" customHeight="1">
      <c r="A254" s="52" t="n"/>
      <c r="B254" s="52" t="n"/>
    </row>
    <row r="255" ht="18" customHeight="1">
      <c r="A255" s="52" t="n"/>
      <c r="B255" s="52" t="n"/>
    </row>
    <row r="256" ht="18" customHeight="1">
      <c r="A256" s="52" t="n"/>
      <c r="B256" s="52" t="n"/>
    </row>
    <row r="257" ht="18" customHeight="1">
      <c r="A257" s="52" t="n"/>
      <c r="B257" s="52" t="n"/>
    </row>
    <row r="258" ht="18" customHeight="1">
      <c r="A258" s="52" t="n"/>
      <c r="B258" s="52" t="n"/>
    </row>
    <row r="259" ht="18" customHeight="1">
      <c r="A259" s="52" t="n"/>
      <c r="B259" s="52" t="n"/>
    </row>
    <row r="260" ht="18" customHeight="1">
      <c r="A260" s="52" t="n"/>
      <c r="B260" s="52" t="n"/>
    </row>
    <row r="261" ht="18" customHeight="1">
      <c r="A261" s="52" t="n"/>
      <c r="B261" s="52" t="n"/>
    </row>
    <row r="262" ht="18" customHeight="1">
      <c r="A262" s="52" t="n"/>
      <c r="B262" s="52" t="n"/>
    </row>
    <row r="263" ht="18" customHeight="1">
      <c r="A263" s="52" t="n"/>
      <c r="B263" s="52" t="n"/>
    </row>
    <row r="264" ht="18" customHeight="1">
      <c r="A264" s="52" t="n"/>
      <c r="B264" s="52" t="n"/>
    </row>
    <row r="265" ht="18" customHeight="1">
      <c r="A265" s="52" t="n"/>
      <c r="B265" s="52" t="n"/>
    </row>
    <row r="266" ht="18" customHeight="1">
      <c r="A266" s="52" t="n"/>
      <c r="B266" s="52" t="n"/>
    </row>
    <row r="267" ht="18" customHeight="1">
      <c r="A267" s="52" t="n"/>
      <c r="B267" s="52" t="n"/>
    </row>
  </sheetData>
  <mergeCells count="3">
    <mergeCell ref="A1:E1"/>
    <mergeCell ref="B2:C2"/>
    <mergeCell ref="D2:E2"/>
  </mergeCells>
  <dataValidations count="1">
    <dataValidation sqref="C3:C214 E3:E214 G3:J214" showDropDown="0" showInputMessage="1" showErrorMessage="1" allowBlank="1" type="list">
      <formula1>"1,2,3,4,5"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>
  <sheetPr codeName="Hoja9">
    <tabColor rgb="FF00B050"/>
    <outlinePr summaryBelow="1" summaryRight="1"/>
    <pageSetUpPr/>
  </sheetPr>
  <dimension ref="A5:L13"/>
  <sheetViews>
    <sheetView zoomScale="70" zoomScaleNormal="70" workbookViewId="0">
      <selection activeCell="P11" sqref="P11"/>
    </sheetView>
  </sheetViews>
  <sheetFormatPr baseColWidth="8" defaultColWidth="11.42578125" defaultRowHeight="12.75"/>
  <cols>
    <col width="19.85546875" customWidth="1" min="1" max="1"/>
    <col width="7.85546875" customWidth="1" min="2" max="2"/>
    <col width="19" customWidth="1" min="3" max="3"/>
    <col width="21.140625" customWidth="1" min="4" max="4"/>
    <col width="18.7109375" customWidth="1" min="5" max="5"/>
    <col width="19.7109375" customWidth="1" min="6" max="6"/>
    <col width="23.85546875" customWidth="1" min="7" max="7"/>
  </cols>
  <sheetData>
    <row r="5" ht="21" customHeight="1" thickBot="1">
      <c r="A5" s="171" t="inlineStr">
        <is>
          <t>SIN CONTROL</t>
        </is>
      </c>
      <c r="B5" s="219" t="n"/>
      <c r="C5" s="219" t="n"/>
      <c r="D5" s="219" t="n"/>
      <c r="E5" s="219" t="n"/>
      <c r="F5" s="219" t="n"/>
      <c r="G5" s="219" t="n"/>
    </row>
    <row r="6" ht="16.5" customHeight="1" thickBot="1">
      <c r="A6" s="14" t="inlineStr">
        <is>
          <t>Probabilidad</t>
        </is>
      </c>
      <c r="B6" s="20" t="n"/>
      <c r="C6" s="166" t="n"/>
      <c r="D6" s="220" t="n"/>
      <c r="E6" s="220" t="n"/>
      <c r="F6" s="220" t="n"/>
      <c r="G6" s="220" t="n"/>
      <c r="J6" s="38" t="inlineStr">
        <is>
          <t>DISTRIBUCIÒN PORCENTUAL</t>
        </is>
      </c>
      <c r="K6" s="38" t="n"/>
      <c r="L6" s="38" t="n"/>
    </row>
    <row r="7" ht="15.75" customHeight="1" thickBot="1">
      <c r="A7" s="167" t="n"/>
      <c r="B7" s="169" t="inlineStr">
        <is>
          <t>valor</t>
        </is>
      </c>
      <c r="C7" s="18" t="n"/>
      <c r="D7" s="17" t="n"/>
      <c r="E7" s="17" t="n"/>
      <c r="F7" s="17" t="n"/>
      <c r="G7" s="17" t="n"/>
      <c r="J7" s="38" t="inlineStr">
        <is>
          <t>ZONA</t>
        </is>
      </c>
      <c r="K7" s="38" t="inlineStr">
        <is>
          <t>%</t>
        </is>
      </c>
      <c r="L7" s="38" t="inlineStr">
        <is>
          <t>Total riesgos</t>
        </is>
      </c>
    </row>
    <row r="8" ht="16.5" customHeight="1" thickBot="1">
      <c r="A8" s="225" t="n"/>
      <c r="B8" s="226" t="n"/>
      <c r="C8" s="19" t="n">
        <v>1</v>
      </c>
      <c r="D8" s="3" t="n">
        <v>2</v>
      </c>
      <c r="E8" s="3" t="n">
        <v>3</v>
      </c>
      <c r="F8" s="3" t="n">
        <v>4</v>
      </c>
      <c r="G8" s="3" t="n">
        <v>5</v>
      </c>
      <c r="J8" s="39" t="inlineStr">
        <is>
          <t>Aceptable</t>
        </is>
      </c>
      <c r="K8" s="39" t="n">
        <v>13.33333333333333</v>
      </c>
      <c r="L8" s="39" t="n">
        <v>2</v>
      </c>
    </row>
    <row r="9" ht="49.5" customHeight="1" thickBot="1">
      <c r="A9" s="133" t="inlineStr">
        <is>
          <t>Casi seguro</t>
        </is>
      </c>
      <c r="B9" s="21" t="n">
        <v>5</v>
      </c>
      <c r="C9" s="23" t="n"/>
      <c r="D9" s="24" t="n"/>
      <c r="E9" s="25" t="inlineStr">
        <is>
          <t xml:space="preserve">Amenaza 4  --  Activo 9 || Amenaza 8  --  Activo 13 || Amenaza 11  --  Activo 12 || </t>
        </is>
      </c>
      <c r="F9" s="25" t="n"/>
      <c r="G9" s="26" t="n"/>
      <c r="J9" s="40" t="inlineStr">
        <is>
          <t>Tolerable</t>
        </is>
      </c>
      <c r="K9" s="40" t="n">
        <v>0</v>
      </c>
      <c r="L9" s="40" t="n">
        <v>0</v>
      </c>
    </row>
    <row r="10" ht="59.25" customHeight="1" thickBot="1">
      <c r="A10" s="133" t="inlineStr">
        <is>
          <t>Probable</t>
        </is>
      </c>
      <c r="B10" s="21" t="n">
        <v>4</v>
      </c>
      <c r="C10" s="27" t="n"/>
      <c r="D10" s="9" t="inlineStr">
        <is>
          <t xml:space="preserve">Amenaza 5  --  Activo 1 || Amenaza 9  --  Activo 8 || Amenaza 12  --  Activo 7 || </t>
        </is>
      </c>
      <c r="E10" s="9" t="n"/>
      <c r="F10" s="8" t="n"/>
      <c r="G10" s="28" t="n"/>
      <c r="J10" s="41" t="inlineStr">
        <is>
          <t>Inaceptable</t>
        </is>
      </c>
      <c r="K10" s="41" t="n">
        <v>40</v>
      </c>
      <c r="L10" s="41" t="n">
        <v>6</v>
      </c>
    </row>
    <row r="11" ht="60" customHeight="1" thickBot="1">
      <c r="A11" s="133" t="inlineStr">
        <is>
          <t>Posible</t>
        </is>
      </c>
      <c r="B11" s="21" t="n">
        <v>3</v>
      </c>
      <c r="C11" s="29" t="inlineStr">
        <is>
          <t xml:space="preserve">Amenaza 6  --  Activo 11 || Amenaza 10  --  Activo 5 || </t>
        </is>
      </c>
      <c r="D11" s="10" t="n"/>
      <c r="E11" s="9" t="inlineStr">
        <is>
          <t xml:space="preserve">Amenaza 1  --  Activo 2 || </t>
        </is>
      </c>
      <c r="F11" s="8" t="inlineStr">
        <is>
          <t xml:space="preserve">Amenaza 3  --  Activo 7 || </t>
        </is>
      </c>
      <c r="G11" s="28" t="n"/>
      <c r="J11" s="42" t="inlineStr">
        <is>
          <t>Inadmisible</t>
        </is>
      </c>
      <c r="K11" s="42" t="n">
        <v>46.66666666666666</v>
      </c>
      <c r="L11" s="42" t="n">
        <v>7</v>
      </c>
    </row>
    <row r="12" ht="54" customHeight="1" thickBot="1">
      <c r="A12" s="133" t="inlineStr">
        <is>
          <t>Improbable</t>
        </is>
      </c>
      <c r="B12" s="21" t="n">
        <v>2</v>
      </c>
      <c r="C12" s="29" t="n"/>
      <c r="D12" s="11" t="n"/>
      <c r="E12" s="10" t="n"/>
      <c r="F12" s="9" t="n"/>
      <c r="G12" s="28" t="inlineStr">
        <is>
          <t xml:space="preserve">Amenaza 2  --  Activo 4 || Amenaza 7  --  Activo 4 || Amenaza 10  --  Activo 10 || </t>
        </is>
      </c>
    </row>
    <row r="13" ht="54.75" customHeight="1" thickBot="1">
      <c r="A13" s="133" t="inlineStr">
        <is>
          <t>Raro</t>
        </is>
      </c>
      <c r="B13" s="22" t="n">
        <v>1</v>
      </c>
      <c r="C13" s="30" t="n"/>
      <c r="D13" s="31" t="n"/>
      <c r="E13" s="32" t="n"/>
      <c r="F13" s="33" t="inlineStr">
        <is>
          <t xml:space="preserve">Amenaza 8  --  Activo 6 || Amenaza 11  --  Activo 3 || </t>
        </is>
      </c>
      <c r="G13" s="34" t="n"/>
    </row>
  </sheetData>
  <mergeCells count="4">
    <mergeCell ref="C6:G6"/>
    <mergeCell ref="A7:A8"/>
    <mergeCell ref="B7:B8"/>
    <mergeCell ref="A5:G5"/>
  </mergeCells>
  <pageMargins left="0.75" right="0.75" top="1" bottom="1" header="0" footer="0"/>
  <pageSetup orientation="landscape"/>
  <drawing xmlns:r="http://schemas.openxmlformats.org/officeDocument/2006/relationships" r:id="rId1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Hoja12">
    <tabColor rgb="FF0070C0"/>
    <outlinePr summaryBelow="1" summaryRight="1"/>
    <pageSetUpPr/>
  </sheetPr>
  <dimension ref="A1:GO267"/>
  <sheetViews>
    <sheetView zoomScale="85" zoomScaleNormal="85" workbookViewId="0">
      <pane xSplit="1" ySplit="2" topLeftCell="B3" activePane="bottomRight" state="frozen"/>
      <selection pane="bottomRight" activeCell="D6" sqref="D6"/>
      <selection pane="bottomLeft" activeCell="A3" sqref="A3"/>
      <selection pane="topRight" activeCell="B1" sqref="B1"/>
    </sheetView>
  </sheetViews>
  <sheetFormatPr baseColWidth="8" defaultColWidth="11.42578125" defaultRowHeight="12.75"/>
  <cols>
    <col width="48.7109375" customWidth="1" min="1" max="1"/>
    <col width="24.28515625" customWidth="1" min="2" max="2"/>
    <col width="8.42578125" customWidth="1" min="3" max="3"/>
    <col width="19.42578125" customWidth="1" min="4" max="4"/>
    <col width="16.140625" customWidth="1" min="5" max="5"/>
    <col hidden="1" width="29.28515625" customWidth="1" min="6" max="6"/>
    <col hidden="1" width="43.7109375" customWidth="1" min="7" max="7"/>
    <col hidden="1" width="32.140625" customWidth="1" min="8" max="8"/>
    <col hidden="1" width="39.28515625" customWidth="1" min="9" max="9"/>
    <col hidden="1" width="46.140625" customWidth="1" min="10" max="10"/>
  </cols>
  <sheetData>
    <row r="1" ht="37.5" customHeight="1">
      <c r="A1" s="163" t="inlineStr">
        <is>
          <t>Calificación con Controles</t>
        </is>
      </c>
      <c r="B1" s="214" t="n"/>
      <c r="C1" s="214" t="n"/>
      <c r="D1" s="214" t="n"/>
      <c r="E1" s="214" t="n"/>
      <c r="F1" s="35" t="n"/>
    </row>
    <row r="2" ht="34.5" customHeight="1">
      <c r="A2" s="16" t="inlineStr">
        <is>
          <t>ESCENARIO</t>
        </is>
      </c>
      <c r="B2" s="224" t="inlineStr">
        <is>
          <t>PROBABILIDAD</t>
        </is>
      </c>
      <c r="C2" s="195" t="n"/>
      <c r="D2" s="224" t="inlineStr">
        <is>
          <t>IMPACTO INFORMACION</t>
        </is>
      </c>
      <c r="E2" s="195" t="n"/>
      <c r="F2" s="36" t="inlineStr">
        <is>
          <t>Riesgo P*Impacto Cliente Mercado</t>
        </is>
      </c>
      <c r="G2" s="16" t="inlineStr">
        <is>
          <t>IMPACTO INFORMACIÓN</t>
        </is>
      </c>
      <c r="H2" s="16" t="inlineStr">
        <is>
          <t>IMPACTO IMAGEN</t>
        </is>
      </c>
      <c r="I2" s="16" t="inlineStr">
        <is>
          <t>IMPACTO FINANCIERO</t>
        </is>
      </c>
      <c r="J2" s="16" t="inlineStr">
        <is>
          <t>IMPACTO CLIENTE/MERCADO</t>
        </is>
      </c>
    </row>
    <row r="3" customFormat="1" s="1">
      <c r="A3" s="68">
        <f>+Agentes!A3</f>
        <v/>
      </c>
      <c r="B3" s="51">
        <f>VLOOKUP(C3,TABLAS!$A$3:$B$7,2)</f>
        <v/>
      </c>
      <c r="C3" s="54" t="n">
        <v>4</v>
      </c>
      <c r="D3" s="1">
        <f>VLOOKUP(E3,TABLAS!$A$22:$B$26,2)</f>
        <v/>
      </c>
      <c r="E3" s="54" t="n">
        <v>2</v>
      </c>
      <c r="F3" s="37">
        <f>+E3*C3</f>
        <v/>
      </c>
      <c r="J3" s="1">
        <f>C3*E3</f>
        <v/>
      </c>
    </row>
    <row r="4" customFormat="1" s="1">
      <c r="A4" s="68">
        <f>+Agentes!A4</f>
        <v/>
      </c>
      <c r="B4" s="51">
        <f>VLOOKUP(C4,TABLAS!$A$3:$B$7,2)</f>
        <v/>
      </c>
      <c r="C4" s="54" t="n">
        <v>2</v>
      </c>
      <c r="D4" s="1">
        <f>VLOOKUP(E4,TABLAS!$A$22:$B$26,2)</f>
        <v/>
      </c>
      <c r="E4" s="54" t="n">
        <v>3</v>
      </c>
      <c r="F4" s="37">
        <f>+E4*C4</f>
        <v/>
      </c>
    </row>
    <row r="5" customFormat="1" s="1">
      <c r="A5" s="68">
        <f>+Agentes!A5</f>
        <v/>
      </c>
      <c r="B5" s="51">
        <f>VLOOKUP(C5,TABLAS!$A$3:$B$7,2)</f>
        <v/>
      </c>
      <c r="C5" s="54" t="n">
        <v>5</v>
      </c>
      <c r="D5" s="1">
        <f>VLOOKUP(E5,TABLAS!$A$22:$B$26,2)</f>
        <v/>
      </c>
      <c r="E5" s="54" t="n">
        <v>5</v>
      </c>
      <c r="F5" s="37">
        <f>+E5*C5</f>
        <v/>
      </c>
    </row>
    <row r="6" customFormat="1" s="1">
      <c r="A6" s="68">
        <f>+Agentes!A6</f>
        <v/>
      </c>
      <c r="B6" s="51">
        <f>VLOOKUP(C6,TABLAS!$A$3:$B$7,2)</f>
        <v/>
      </c>
      <c r="C6" s="54" t="n">
        <v>4</v>
      </c>
      <c r="D6" s="1">
        <f>VLOOKUP(E6,TABLAS!$A$22:$B$26,2)</f>
        <v/>
      </c>
      <c r="E6" s="54" t="n">
        <v>4</v>
      </c>
      <c r="F6" s="37">
        <f>+E6*C6</f>
        <v/>
      </c>
    </row>
    <row r="7" customFormat="1" s="1">
      <c r="A7" s="68">
        <f>+Agentes!A7</f>
        <v/>
      </c>
      <c r="B7" s="51">
        <f>VLOOKUP(C7,TABLAS!$A$3:$B$7,2)</f>
        <v/>
      </c>
      <c r="C7" s="54" t="n">
        <v>3</v>
      </c>
      <c r="D7" s="1">
        <f>VLOOKUP(E7,TABLAS!$A$22:$B$26,2)</f>
        <v/>
      </c>
      <c r="E7" s="54" t="n">
        <v>3</v>
      </c>
      <c r="F7" s="37">
        <f>+E7*C7</f>
        <v/>
      </c>
    </row>
    <row r="8" customFormat="1" s="1">
      <c r="A8" s="68">
        <f>+Agentes!A8</f>
        <v/>
      </c>
      <c r="B8" s="51">
        <f>VLOOKUP(C8,TABLAS!$A$3:$B$7,2)</f>
        <v/>
      </c>
      <c r="C8" s="54" t="n">
        <v>2</v>
      </c>
      <c r="D8" s="1">
        <f>VLOOKUP(E8,TABLAS!$A$22:$B$26,2)</f>
        <v/>
      </c>
      <c r="E8" s="54" t="n">
        <v>2</v>
      </c>
      <c r="F8" s="37">
        <f>+E8*C8</f>
        <v/>
      </c>
    </row>
    <row r="9" customFormat="1" s="1">
      <c r="A9" s="68">
        <f>+Agentes!A9</f>
        <v/>
      </c>
      <c r="B9" s="51">
        <f>VLOOKUP(C9,TABLAS!$A$3:$B$7,2)</f>
        <v/>
      </c>
      <c r="C9" s="54" t="n">
        <v>1</v>
      </c>
      <c r="D9" s="1">
        <f>VLOOKUP(E9,TABLAS!$A$22:$B$26,2)</f>
        <v/>
      </c>
      <c r="E9" s="54" t="n">
        <v>1</v>
      </c>
      <c r="F9" s="37">
        <f>+E9*C9</f>
        <v/>
      </c>
    </row>
    <row r="10" customFormat="1" s="1">
      <c r="A10" s="68">
        <f>+Agentes!A10</f>
        <v/>
      </c>
      <c r="B10" s="51">
        <f>VLOOKUP(C10,TABLAS!$A$3:$B$7,2)</f>
        <v/>
      </c>
      <c r="C10" s="54" t="n">
        <v>5</v>
      </c>
      <c r="D10" s="1">
        <f>VLOOKUP(E10,TABLAS!$A$22:$B$26,2)</f>
        <v/>
      </c>
      <c r="E10" s="54" t="n">
        <v>5</v>
      </c>
      <c r="F10" s="37">
        <f>+E10*C10</f>
        <v/>
      </c>
    </row>
    <row r="11" customFormat="1" s="1">
      <c r="A11" s="68">
        <f>+Agentes!A11</f>
        <v/>
      </c>
      <c r="B11" s="51">
        <f>VLOOKUP(C11,TABLAS!$A$3:$B$7,2)</f>
        <v/>
      </c>
      <c r="C11" s="54" t="n">
        <v>4</v>
      </c>
      <c r="D11" s="1">
        <f>VLOOKUP(E11,TABLAS!$A$22:$B$26,2)</f>
        <v/>
      </c>
      <c r="E11" s="54" t="n">
        <v>4</v>
      </c>
      <c r="F11" s="37">
        <f>+E11*C11</f>
        <v/>
      </c>
    </row>
    <row r="12" customFormat="1" s="1">
      <c r="A12" s="68">
        <f>+Agentes!A12</f>
        <v/>
      </c>
      <c r="B12" s="51">
        <f>VLOOKUP(C12,TABLAS!$A$3:$B$7,2)</f>
        <v/>
      </c>
      <c r="C12" s="54" t="n">
        <v>3</v>
      </c>
      <c r="D12" s="1">
        <f>VLOOKUP(E12,TABLAS!$A$22:$B$26,2)</f>
        <v/>
      </c>
      <c r="E12" s="54" t="n">
        <v>3</v>
      </c>
      <c r="F12" s="37">
        <f>+E12*C12</f>
        <v/>
      </c>
    </row>
    <row r="13" customFormat="1" s="1">
      <c r="A13" s="68">
        <f>+Agentes!A13</f>
        <v/>
      </c>
      <c r="B13" s="51">
        <f>VLOOKUP(C13,TABLAS!$A$3:$B$7,2)</f>
        <v/>
      </c>
      <c r="C13" s="54" t="n">
        <v>2</v>
      </c>
      <c r="D13" s="1">
        <f>VLOOKUP(E13,TABLAS!$A$22:$B$26,2)</f>
        <v/>
      </c>
      <c r="E13" s="54" t="n">
        <v>2</v>
      </c>
      <c r="F13" s="37">
        <f>+E13*C13</f>
        <v/>
      </c>
    </row>
    <row r="14" customFormat="1" s="1">
      <c r="A14" s="68">
        <f>+Agentes!A14</f>
        <v/>
      </c>
      <c r="B14" s="51">
        <f>VLOOKUP(C14,TABLAS!$A$3:$B$7,2)</f>
        <v/>
      </c>
      <c r="C14" s="54" t="n">
        <v>1</v>
      </c>
      <c r="D14" s="1">
        <f>VLOOKUP(E14,TABLAS!$A$22:$B$26,2)</f>
        <v/>
      </c>
      <c r="E14" s="54" t="n">
        <v>1</v>
      </c>
      <c r="F14" s="37">
        <f>+E14*C14</f>
        <v/>
      </c>
    </row>
    <row r="15" customFormat="1" s="1">
      <c r="A15" s="68">
        <f>+Agentes!A15</f>
        <v/>
      </c>
      <c r="B15" s="51">
        <f>VLOOKUP(C15,TABLAS!$A$3:$B$7,2)</f>
        <v/>
      </c>
      <c r="C15" s="54" t="n">
        <v>5</v>
      </c>
      <c r="D15" s="1">
        <f>VLOOKUP(E15,TABLAS!$A$22:$B$26,2)</f>
        <v/>
      </c>
      <c r="E15" s="54" t="n">
        <v>5</v>
      </c>
      <c r="F15" s="37">
        <f>+E15*C15</f>
        <v/>
      </c>
    </row>
    <row r="16" customFormat="1" s="1">
      <c r="A16" s="68">
        <f>+Agentes!A16</f>
        <v/>
      </c>
      <c r="B16" s="51">
        <f>VLOOKUP(C16,TABLAS!$A$3:$B$7,2)</f>
        <v/>
      </c>
      <c r="C16" s="54" t="n">
        <v>4</v>
      </c>
      <c r="D16" s="1">
        <f>VLOOKUP(E16,TABLAS!$A$22:$B$26,2)</f>
        <v/>
      </c>
      <c r="E16" s="54" t="n">
        <v>4</v>
      </c>
      <c r="F16" s="37">
        <f>+E16*C16</f>
        <v/>
      </c>
    </row>
    <row r="17" customFormat="1" s="1">
      <c r="A17" s="68">
        <f>+Agentes!A17</f>
        <v/>
      </c>
      <c r="B17" s="51">
        <f>VLOOKUP(C17,TABLAS!$A$3:$B$7,2)</f>
        <v/>
      </c>
      <c r="C17" s="54" t="n">
        <v>3</v>
      </c>
      <c r="D17" s="1">
        <f>VLOOKUP(E17,TABLAS!$A$22:$B$26,2)</f>
        <v/>
      </c>
      <c r="E17" s="54" t="n">
        <v>3</v>
      </c>
      <c r="F17" s="37">
        <f>+E17*C17</f>
        <v/>
      </c>
    </row>
    <row r="18" customFormat="1" s="1">
      <c r="A18" s="68">
        <f>+Agentes!A18</f>
        <v/>
      </c>
      <c r="B18" s="51">
        <f>VLOOKUP(C18,TABLAS!$A$3:$B$7,2)</f>
        <v/>
      </c>
      <c r="C18" s="54" t="n"/>
      <c r="D18" s="1">
        <f>VLOOKUP(E18,TABLAS!$A$22:$B$26,2)</f>
        <v/>
      </c>
      <c r="E18" s="54" t="n"/>
      <c r="F18" s="37">
        <f>+E18*C18</f>
        <v/>
      </c>
    </row>
    <row r="19" customFormat="1" s="1">
      <c r="A19" s="68">
        <f>+Agentes!A19</f>
        <v/>
      </c>
      <c r="B19" s="51">
        <f>VLOOKUP(C19,TABLAS!$A$3:$B$7,2)</f>
        <v/>
      </c>
      <c r="C19" s="54" t="n"/>
      <c r="D19" s="1">
        <f>VLOOKUP(E19,TABLAS!$A$22:$B$26,2)</f>
        <v/>
      </c>
      <c r="E19" s="54" t="n"/>
      <c r="F19" s="37">
        <f>+E19*C19</f>
        <v/>
      </c>
    </row>
    <row r="20" customFormat="1" s="1">
      <c r="A20" s="68">
        <f>+Agentes!A20</f>
        <v/>
      </c>
      <c r="B20" s="51">
        <f>VLOOKUP(C20,TABLAS!$A$3:$B$7,2)</f>
        <v/>
      </c>
      <c r="C20" s="54" t="n"/>
      <c r="D20" s="1">
        <f>VLOOKUP(E20,TABLAS!$A$22:$B$26,2)</f>
        <v/>
      </c>
      <c r="E20" s="54" t="n"/>
      <c r="F20" s="37">
        <f>+E20*C20</f>
        <v/>
      </c>
    </row>
    <row r="21" customFormat="1" s="1">
      <c r="A21" s="68">
        <f>+Agentes!A21</f>
        <v/>
      </c>
      <c r="B21" s="51">
        <f>VLOOKUP(C21,TABLAS!$A$3:$B$7,2)</f>
        <v/>
      </c>
      <c r="C21" s="54" t="n"/>
      <c r="D21" s="1">
        <f>VLOOKUP(E21,TABLAS!$A$22:$B$26,2)</f>
        <v/>
      </c>
      <c r="E21" s="54" t="n"/>
      <c r="F21" s="37">
        <f>+E21*C21</f>
        <v/>
      </c>
    </row>
    <row r="22" customFormat="1" s="1">
      <c r="A22" s="68">
        <f>+Agentes!A22</f>
        <v/>
      </c>
      <c r="B22" s="51">
        <f>VLOOKUP(C22,TABLAS!$A$3:$B$7,2)</f>
        <v/>
      </c>
      <c r="C22" s="54" t="n"/>
      <c r="D22" s="1">
        <f>VLOOKUP(E22,TABLAS!$A$22:$B$26,2)</f>
        <v/>
      </c>
      <c r="E22" s="54" t="n"/>
      <c r="F22" s="37">
        <f>+E22*C22</f>
        <v/>
      </c>
    </row>
    <row r="23" customFormat="1" s="1">
      <c r="A23" s="68">
        <f>+Agentes!A23</f>
        <v/>
      </c>
      <c r="B23" s="51">
        <f>VLOOKUP(C23,TABLAS!$A$3:$B$7,2)</f>
        <v/>
      </c>
      <c r="C23" s="54" t="n"/>
      <c r="D23" s="1">
        <f>VLOOKUP(E23,TABLAS!$A$22:$B$26,2)</f>
        <v/>
      </c>
      <c r="E23" s="54" t="n"/>
      <c r="F23" s="37">
        <f>+E23*C23</f>
        <v/>
      </c>
    </row>
    <row r="24" customFormat="1" s="1">
      <c r="A24" s="68">
        <f>+Agentes!A24</f>
        <v/>
      </c>
      <c r="B24" s="51">
        <f>VLOOKUP(C24,TABLAS!$A$3:$B$7,2)</f>
        <v/>
      </c>
      <c r="C24" s="54" t="n"/>
      <c r="D24" s="1">
        <f>VLOOKUP(E24,TABLAS!$A$22:$B$26,2)</f>
        <v/>
      </c>
      <c r="E24" s="54" t="n"/>
      <c r="F24" s="37">
        <f>+E24*C24</f>
        <v/>
      </c>
    </row>
    <row r="25" customFormat="1" s="1">
      <c r="A25" s="68">
        <f>+Agentes!A25</f>
        <v/>
      </c>
      <c r="B25" s="51">
        <f>VLOOKUP(C25,TABLAS!$A$3:$B$7,2)</f>
        <v/>
      </c>
      <c r="C25" s="54" t="n"/>
      <c r="D25" s="1">
        <f>VLOOKUP(E25,TABLAS!$A$22:$B$26,2)</f>
        <v/>
      </c>
      <c r="E25" s="54" t="n"/>
      <c r="F25" s="37">
        <f>+E25*C25</f>
        <v/>
      </c>
    </row>
    <row r="26" customFormat="1" s="1">
      <c r="A26" s="68">
        <f>+Agentes!A26</f>
        <v/>
      </c>
      <c r="B26" s="51">
        <f>VLOOKUP(C26,TABLAS!$A$3:$B$7,2)</f>
        <v/>
      </c>
      <c r="C26" s="54" t="n"/>
      <c r="D26" s="1">
        <f>VLOOKUP(E26,TABLAS!$A$22:$B$26,2)</f>
        <v/>
      </c>
      <c r="E26" s="54" t="n"/>
      <c r="F26" s="37">
        <f>+E26*C26</f>
        <v/>
      </c>
    </row>
    <row r="27" customFormat="1" s="1">
      <c r="A27" s="68">
        <f>+Agentes!A27</f>
        <v/>
      </c>
      <c r="B27" s="51">
        <f>VLOOKUP(C27,TABLAS!$A$3:$B$7,2)</f>
        <v/>
      </c>
      <c r="C27" s="54" t="n"/>
      <c r="D27" s="1">
        <f>VLOOKUP(E27,TABLAS!$A$22:$B$26,2)</f>
        <v/>
      </c>
      <c r="E27" s="54" t="n"/>
      <c r="F27" s="37">
        <f>+E27*C27</f>
        <v/>
      </c>
    </row>
    <row r="28" customFormat="1" s="1">
      <c r="A28" s="68">
        <f>+Agentes!A28</f>
        <v/>
      </c>
      <c r="B28" s="51">
        <f>VLOOKUP(C28,TABLAS!$A$3:$B$7,2)</f>
        <v/>
      </c>
      <c r="C28" s="54" t="n"/>
      <c r="D28" s="1">
        <f>VLOOKUP(E28,TABLAS!$A$22:$B$26,2)</f>
        <v/>
      </c>
      <c r="E28" s="54" t="n"/>
      <c r="F28" s="37">
        <f>+E28*C28</f>
        <v/>
      </c>
    </row>
    <row r="29" customFormat="1" s="1">
      <c r="A29" s="68">
        <f>+Agentes!A29</f>
        <v/>
      </c>
      <c r="B29" s="51">
        <f>VLOOKUP(C29,TABLAS!$A$3:$B$7,2)</f>
        <v/>
      </c>
      <c r="C29" s="54" t="n"/>
      <c r="D29" s="1">
        <f>VLOOKUP(E29,TABLAS!$A$22:$B$26,2)</f>
        <v/>
      </c>
      <c r="E29" s="54" t="n"/>
      <c r="F29" s="37">
        <f>+E29*C29</f>
        <v/>
      </c>
    </row>
    <row r="30" customFormat="1" s="1">
      <c r="A30" s="68">
        <f>+Agentes!A30</f>
        <v/>
      </c>
      <c r="B30" s="51">
        <f>VLOOKUP(C30,TABLAS!$A$3:$B$7,2)</f>
        <v/>
      </c>
      <c r="C30" s="54" t="n"/>
      <c r="D30" s="1">
        <f>VLOOKUP(E30,TABLAS!$A$22:$B$26,2)</f>
        <v/>
      </c>
      <c r="E30" s="54" t="n"/>
      <c r="F30" s="37">
        <f>+E30*C30</f>
        <v/>
      </c>
    </row>
    <row r="31" customFormat="1" s="1">
      <c r="A31" s="68">
        <f>+Agentes!A31</f>
        <v/>
      </c>
      <c r="B31" s="51">
        <f>VLOOKUP(C31,TABLAS!$A$3:$B$7,2)</f>
        <v/>
      </c>
      <c r="C31" s="54" t="n"/>
      <c r="D31" s="1">
        <f>VLOOKUP(E31,TABLAS!$A$22:$B$26,2)</f>
        <v/>
      </c>
      <c r="E31" s="54" t="n"/>
      <c r="F31" s="37">
        <f>+E31*C31</f>
        <v/>
      </c>
    </row>
    <row r="32" customFormat="1" s="1">
      <c r="A32" s="68">
        <f>+Agentes!A32</f>
        <v/>
      </c>
      <c r="B32" s="51">
        <f>VLOOKUP(C32,TABLAS!$A$3:$B$7,2)</f>
        <v/>
      </c>
      <c r="C32" s="54" t="n"/>
      <c r="D32" s="1">
        <f>VLOOKUP(E32,TABLAS!$A$22:$B$26,2)</f>
        <v/>
      </c>
      <c r="E32" s="54" t="n"/>
      <c r="F32" s="37">
        <f>+E32*C32</f>
        <v/>
      </c>
    </row>
    <row r="33" customFormat="1" s="1">
      <c r="A33" s="68">
        <f>+Agentes!A33</f>
        <v/>
      </c>
      <c r="B33" s="51">
        <f>VLOOKUP(C33,TABLAS!$A$3:$B$7,2)</f>
        <v/>
      </c>
      <c r="C33" s="54" t="n"/>
      <c r="D33" s="1">
        <f>VLOOKUP(E33,TABLAS!$A$22:$B$26,2)</f>
        <v/>
      </c>
      <c r="E33" s="54" t="n"/>
      <c r="F33" s="37">
        <f>+E33*C33</f>
        <v/>
      </c>
    </row>
    <row r="34" customFormat="1" s="1">
      <c r="A34" s="68">
        <f>+Agentes!A34</f>
        <v/>
      </c>
      <c r="B34" s="51">
        <f>VLOOKUP(C34,TABLAS!$A$3:$B$7,2)</f>
        <v/>
      </c>
      <c r="C34" s="54" t="n"/>
      <c r="D34" s="1">
        <f>VLOOKUP(E34,TABLAS!$A$22:$B$26,2)</f>
        <v/>
      </c>
      <c r="E34" s="54" t="n"/>
      <c r="F34" s="37">
        <f>+E34*C34</f>
        <v/>
      </c>
    </row>
    <row r="35" customFormat="1" s="1">
      <c r="A35" s="68">
        <f>+Agentes!A35</f>
        <v/>
      </c>
      <c r="B35" s="51">
        <f>VLOOKUP(C35,TABLAS!$A$3:$B$7,2)</f>
        <v/>
      </c>
      <c r="C35" s="54" t="n"/>
      <c r="D35" s="1">
        <f>VLOOKUP(E35,TABLAS!$A$22:$B$26,2)</f>
        <v/>
      </c>
      <c r="E35" s="54" t="n"/>
      <c r="F35" s="37">
        <f>+E35*C35</f>
        <v/>
      </c>
    </row>
    <row r="36" customFormat="1" s="1">
      <c r="A36" s="68">
        <f>+Agentes!A36</f>
        <v/>
      </c>
      <c r="B36" s="51">
        <f>VLOOKUP(C36,TABLAS!$A$3:$B$7,2)</f>
        <v/>
      </c>
      <c r="C36" s="54" t="n"/>
      <c r="D36" s="1">
        <f>VLOOKUP(E36,TABLAS!$A$22:$B$26,2)</f>
        <v/>
      </c>
      <c r="E36" s="54" t="n"/>
      <c r="F36" s="37">
        <f>+E36*C36</f>
        <v/>
      </c>
    </row>
    <row r="37" customFormat="1" s="1">
      <c r="A37" s="68">
        <f>+Agentes!A37</f>
        <v/>
      </c>
      <c r="B37" s="51">
        <f>VLOOKUP(C37,TABLAS!$A$3:$B$7,2)</f>
        <v/>
      </c>
      <c r="C37" s="54" t="n"/>
      <c r="D37" s="1">
        <f>VLOOKUP(E37,TABLAS!$A$22:$B$26,2)</f>
        <v/>
      </c>
      <c r="E37" s="54" t="n"/>
      <c r="F37" s="37">
        <f>+E37*C37</f>
        <v/>
      </c>
    </row>
    <row r="38" customFormat="1" s="1">
      <c r="A38" s="68">
        <f>+Agentes!A38</f>
        <v/>
      </c>
      <c r="B38" s="51">
        <f>VLOOKUP(C38,TABLAS!$A$3:$B$7,2)</f>
        <v/>
      </c>
      <c r="C38" s="54" t="n"/>
      <c r="D38" s="1">
        <f>VLOOKUP(E38,TABLAS!$A$22:$B$26,2)</f>
        <v/>
      </c>
      <c r="E38" s="54" t="n"/>
      <c r="F38" s="37">
        <f>+E38*C38</f>
        <v/>
      </c>
    </row>
    <row r="39" customFormat="1" s="1">
      <c r="A39" s="68">
        <f>+Agentes!A39</f>
        <v/>
      </c>
      <c r="B39" s="51">
        <f>VLOOKUP(C39,TABLAS!$A$3:$B$7,2)</f>
        <v/>
      </c>
      <c r="C39" s="54" t="n"/>
      <c r="D39" s="1">
        <f>VLOOKUP(E39,TABLAS!$A$22:$B$26,2)</f>
        <v/>
      </c>
      <c r="E39" s="54" t="n"/>
      <c r="F39" s="37">
        <f>+E39*C39</f>
        <v/>
      </c>
    </row>
    <row r="40" customFormat="1" s="1">
      <c r="A40" s="68">
        <f>+Agentes!A40</f>
        <v/>
      </c>
      <c r="B40" s="51">
        <f>VLOOKUP(C40,TABLAS!$A$3:$B$7,2)</f>
        <v/>
      </c>
      <c r="C40" s="54" t="n"/>
      <c r="D40" s="1">
        <f>VLOOKUP(E40,TABLAS!$A$22:$B$26,2)</f>
        <v/>
      </c>
      <c r="E40" s="54" t="n"/>
      <c r="F40" s="37">
        <f>+E40*C40</f>
        <v/>
      </c>
    </row>
    <row r="41" customFormat="1" s="1">
      <c r="A41" s="68">
        <f>+Agentes!A41</f>
        <v/>
      </c>
      <c r="B41" s="51">
        <f>VLOOKUP(C41,TABLAS!$A$3:$B$7,2)</f>
        <v/>
      </c>
      <c r="C41" s="54" t="n"/>
      <c r="D41" s="1">
        <f>VLOOKUP(E41,TABLAS!$A$22:$B$26,2)</f>
        <v/>
      </c>
      <c r="E41" s="54" t="n"/>
      <c r="F41" s="37">
        <f>+E41*C41</f>
        <v/>
      </c>
    </row>
    <row r="42">
      <c r="A42" s="68">
        <f>+Agentes!A42</f>
        <v/>
      </c>
      <c r="B42" s="51">
        <f>VLOOKUP(C42,TABLAS!$A$3:$B$7,2)</f>
        <v/>
      </c>
      <c r="C42" s="54" t="n"/>
      <c r="D42" s="1">
        <f>VLOOKUP(E42,TABLAS!$A$22:$B$26,2)</f>
        <v/>
      </c>
      <c r="E42" s="54" t="n"/>
      <c r="F42" s="37">
        <f>+E42*C42</f>
        <v/>
      </c>
      <c r="G42" s="1" t="n"/>
      <c r="H42" s="1" t="n"/>
      <c r="I42" s="1" t="n"/>
      <c r="J42" s="1" t="n"/>
    </row>
    <row r="43">
      <c r="A43" s="68">
        <f>+Agentes!A43</f>
        <v/>
      </c>
      <c r="B43" s="51">
        <f>VLOOKUP(C43,TABLAS!$A$3:$B$7,2)</f>
        <v/>
      </c>
      <c r="C43" s="54" t="n"/>
      <c r="D43" s="1">
        <f>VLOOKUP(E43,TABLAS!$A$22:$B$26,2)</f>
        <v/>
      </c>
      <c r="E43" s="54" t="n"/>
      <c r="F43" s="37">
        <f>+E43*C43</f>
        <v/>
      </c>
      <c r="G43" s="1" t="n"/>
      <c r="H43" s="1" t="n"/>
      <c r="I43" s="1" t="n"/>
      <c r="J43" s="1" t="n"/>
    </row>
    <row r="44">
      <c r="A44" s="68">
        <f>+Agentes!A44</f>
        <v/>
      </c>
      <c r="B44" s="51">
        <f>VLOOKUP(C44,TABLAS!$A$3:$B$7,2)</f>
        <v/>
      </c>
      <c r="C44" s="54" t="n"/>
      <c r="D44" s="1">
        <f>VLOOKUP(E44,TABLAS!$A$22:$B$26,2)</f>
        <v/>
      </c>
      <c r="E44" s="54" t="n"/>
      <c r="F44" s="37">
        <f>+E44*C44</f>
        <v/>
      </c>
      <c r="G44" s="1" t="n"/>
      <c r="H44" s="1" t="n"/>
      <c r="I44" s="1" t="n"/>
      <c r="J44" s="1" t="n"/>
    </row>
    <row r="45">
      <c r="A45" s="68">
        <f>+Agentes!A45</f>
        <v/>
      </c>
      <c r="B45" s="51">
        <f>VLOOKUP(C45,TABLAS!$A$3:$B$7,2)</f>
        <v/>
      </c>
      <c r="C45" s="54" t="n"/>
      <c r="D45" s="1">
        <f>VLOOKUP(E45,TABLAS!$A$22:$B$26,2)</f>
        <v/>
      </c>
      <c r="E45" s="54" t="n"/>
      <c r="F45" s="37">
        <f>+E45*C45</f>
        <v/>
      </c>
      <c r="G45" s="1" t="n"/>
      <c r="H45" s="1" t="n"/>
      <c r="I45" s="1" t="n"/>
      <c r="J45" s="1" t="n"/>
    </row>
    <row r="46">
      <c r="A46" s="68">
        <f>+Agentes!A46</f>
        <v/>
      </c>
      <c r="B46" s="51">
        <f>VLOOKUP(C46,TABLAS!$A$3:$B$7,2)</f>
        <v/>
      </c>
      <c r="C46" s="54" t="n"/>
      <c r="D46" s="1">
        <f>VLOOKUP(E46,TABLAS!$A$22:$B$26,2)</f>
        <v/>
      </c>
      <c r="E46" s="54" t="n"/>
      <c r="F46" s="37">
        <f>+E46*C46</f>
        <v/>
      </c>
      <c r="G46" s="1" t="n"/>
      <c r="H46" s="1" t="n"/>
      <c r="I46" s="1" t="n"/>
      <c r="J46" s="1" t="n"/>
    </row>
    <row r="47">
      <c r="A47" s="68">
        <f>+Agentes!A47</f>
        <v/>
      </c>
      <c r="B47" s="51">
        <f>VLOOKUP(C47,TABLAS!$A$3:$B$7,2)</f>
        <v/>
      </c>
      <c r="C47" s="54" t="n"/>
      <c r="D47" s="1">
        <f>VLOOKUP(E47,TABLAS!$A$22:$B$26,2)</f>
        <v/>
      </c>
      <c r="E47" s="54" t="n"/>
      <c r="F47" s="37">
        <f>+E47*C47</f>
        <v/>
      </c>
      <c r="G47" s="1" t="n"/>
      <c r="H47" s="1" t="n"/>
      <c r="I47" s="1" t="n"/>
      <c r="J47" s="1" t="n"/>
    </row>
    <row r="48">
      <c r="A48" s="68">
        <f>+Agentes!A48</f>
        <v/>
      </c>
      <c r="B48" s="51">
        <f>VLOOKUP(C48,TABLAS!$A$3:$B$7,2)</f>
        <v/>
      </c>
      <c r="C48" s="54" t="n"/>
      <c r="D48" s="1">
        <f>VLOOKUP(E48,TABLAS!$A$22:$B$26,2)</f>
        <v/>
      </c>
      <c r="E48" s="54" t="n"/>
      <c r="F48" s="37">
        <f>+E48*C48</f>
        <v/>
      </c>
      <c r="G48" s="1" t="n"/>
      <c r="H48" s="1" t="n"/>
      <c r="I48" s="1" t="n"/>
      <c r="J48" s="1" t="n"/>
    </row>
    <row r="49">
      <c r="A49" s="68">
        <f>+Agentes!A49</f>
        <v/>
      </c>
      <c r="B49" s="51">
        <f>VLOOKUP(C49,TABLAS!$A$3:$B$7,2)</f>
        <v/>
      </c>
      <c r="C49" s="54" t="n"/>
      <c r="D49" s="1">
        <f>VLOOKUP(E49,TABLAS!$A$22:$B$26,2)</f>
        <v/>
      </c>
      <c r="E49" s="54" t="n"/>
      <c r="F49" s="37">
        <f>+E49*C49</f>
        <v/>
      </c>
      <c r="G49" s="1" t="n"/>
      <c r="H49" s="1" t="n"/>
      <c r="I49" s="1" t="n"/>
      <c r="J49" s="1" t="n"/>
    </row>
    <row r="50">
      <c r="A50" s="68">
        <f>+Agentes!A50</f>
        <v/>
      </c>
      <c r="B50" s="51">
        <f>VLOOKUP(C50,TABLAS!$A$3:$B$7,2)</f>
        <v/>
      </c>
      <c r="C50" s="54" t="n"/>
      <c r="D50" s="1">
        <f>VLOOKUP(E50,TABLAS!$A$22:$B$26,2)</f>
        <v/>
      </c>
      <c r="E50" s="54" t="n"/>
      <c r="F50" s="37">
        <f>+E50*C50</f>
        <v/>
      </c>
      <c r="G50" s="1" t="n"/>
      <c r="H50" s="1" t="n"/>
      <c r="I50" s="1" t="n"/>
      <c r="J50" s="1" t="n"/>
    </row>
    <row r="51">
      <c r="A51" s="68">
        <f>+Agentes!A51</f>
        <v/>
      </c>
      <c r="B51" s="51">
        <f>VLOOKUP(C51,TABLAS!$A$3:$B$7,2)</f>
        <v/>
      </c>
      <c r="C51" s="54" t="n"/>
      <c r="D51" s="1">
        <f>VLOOKUP(E51,TABLAS!$A$22:$B$26,2)</f>
        <v/>
      </c>
      <c r="E51" s="54" t="n"/>
      <c r="F51" s="37">
        <f>+E51*C51</f>
        <v/>
      </c>
      <c r="G51" s="1" t="n"/>
      <c r="H51" s="1" t="n"/>
      <c r="I51" s="1" t="n"/>
      <c r="J51" s="1" t="n"/>
    </row>
    <row r="52">
      <c r="A52" s="68">
        <f>+Agentes!A52</f>
        <v/>
      </c>
      <c r="B52" s="51">
        <f>VLOOKUP(C52,TABLAS!$A$3:$B$7,2)</f>
        <v/>
      </c>
      <c r="C52" s="54" t="n"/>
      <c r="D52" s="1">
        <f>VLOOKUP(E52,TABLAS!$A$22:$B$26,2)</f>
        <v/>
      </c>
      <c r="E52" s="54" t="n"/>
      <c r="F52" s="37">
        <f>+E52*C52</f>
        <v/>
      </c>
      <c r="G52" s="1" t="n"/>
      <c r="H52" s="1" t="n"/>
      <c r="I52" s="1" t="n"/>
      <c r="J52" s="1" t="n"/>
    </row>
    <row r="53">
      <c r="A53" s="68">
        <f>+Agentes!A53</f>
        <v/>
      </c>
      <c r="B53" s="51">
        <f>VLOOKUP(C53,TABLAS!$A$3:$B$7,2)</f>
        <v/>
      </c>
      <c r="C53" s="54" t="n"/>
      <c r="D53" s="1">
        <f>VLOOKUP(E53,TABLAS!$A$22:$B$26,2)</f>
        <v/>
      </c>
      <c r="E53" s="54" t="n"/>
      <c r="F53" s="37">
        <f>+E53*C53</f>
        <v/>
      </c>
      <c r="G53" s="1" t="n"/>
      <c r="H53" s="1" t="n"/>
      <c r="I53" s="1" t="n"/>
      <c r="J53" s="1" t="n"/>
    </row>
    <row r="54">
      <c r="A54" s="68">
        <f>+Agentes!A54</f>
        <v/>
      </c>
      <c r="B54" s="51">
        <f>VLOOKUP(C54,TABLAS!$A$3:$B$7,2)</f>
        <v/>
      </c>
      <c r="C54" s="54" t="n"/>
      <c r="D54" s="1">
        <f>VLOOKUP(E54,TABLAS!$A$22:$B$26,2)</f>
        <v/>
      </c>
      <c r="E54" s="54" t="n"/>
      <c r="F54" s="37">
        <f>+E54*C54</f>
        <v/>
      </c>
      <c r="G54" s="1" t="n"/>
      <c r="H54" s="1" t="n"/>
      <c r="I54" s="1" t="n"/>
      <c r="J54" s="1" t="n"/>
    </row>
    <row r="55">
      <c r="A55" s="68">
        <f>+Agentes!A55</f>
        <v/>
      </c>
      <c r="B55" s="51">
        <f>VLOOKUP(C55,TABLAS!$A$3:$B$7,2)</f>
        <v/>
      </c>
      <c r="C55" s="54" t="n"/>
      <c r="D55" s="1">
        <f>VLOOKUP(E55,TABLAS!$A$22:$B$26,2)</f>
        <v/>
      </c>
      <c r="E55" s="54" t="n"/>
      <c r="F55" s="37">
        <f>+E55*C55</f>
        <v/>
      </c>
      <c r="G55" s="1" t="n"/>
      <c r="H55" s="1" t="n"/>
      <c r="I55" s="1" t="n"/>
      <c r="J55" s="1" t="n"/>
    </row>
    <row r="56">
      <c r="A56" s="68">
        <f>+Agentes!A56</f>
        <v/>
      </c>
      <c r="B56" s="51">
        <f>VLOOKUP(C56,TABLAS!$A$3:$B$7,2)</f>
        <v/>
      </c>
      <c r="C56" s="54" t="n"/>
      <c r="D56" s="1">
        <f>VLOOKUP(E56,TABLAS!$A$22:$B$26,2)</f>
        <v/>
      </c>
      <c r="E56" s="54" t="n"/>
      <c r="F56" s="37">
        <f>+E56*C56</f>
        <v/>
      </c>
      <c r="G56" s="1" t="n"/>
      <c r="H56" s="1" t="n"/>
      <c r="I56" s="1" t="n"/>
      <c r="J56" s="1" t="n"/>
    </row>
    <row r="57">
      <c r="A57" s="68">
        <f>+Agentes!A57</f>
        <v/>
      </c>
      <c r="B57" s="51">
        <f>VLOOKUP(C57,TABLAS!$A$3:$B$7,2)</f>
        <v/>
      </c>
      <c r="C57" s="54" t="n"/>
      <c r="D57" s="1">
        <f>VLOOKUP(E57,TABLAS!$A$22:$B$26,2)</f>
        <v/>
      </c>
      <c r="E57" s="54" t="n"/>
      <c r="F57" s="37">
        <f>+E57*C57</f>
        <v/>
      </c>
      <c r="G57" s="1" t="n"/>
      <c r="H57" s="1" t="n"/>
      <c r="I57" s="1" t="n"/>
      <c r="J57" s="1" t="n"/>
    </row>
    <row r="58">
      <c r="A58" s="68">
        <f>+Agentes!A58</f>
        <v/>
      </c>
      <c r="B58" s="51">
        <f>VLOOKUP(C58,TABLAS!$A$3:$B$7,2)</f>
        <v/>
      </c>
      <c r="C58" s="54" t="n"/>
      <c r="D58" s="1">
        <f>VLOOKUP(E58,TABLAS!$A$22:$B$26,2)</f>
        <v/>
      </c>
      <c r="E58" s="54" t="n"/>
      <c r="F58" s="37">
        <f>+E58*C58</f>
        <v/>
      </c>
      <c r="G58" s="1" t="n"/>
      <c r="H58" s="1" t="n"/>
      <c r="I58" s="1" t="n"/>
      <c r="J58" s="1" t="n"/>
    </row>
    <row r="59">
      <c r="A59" s="68">
        <f>+Agentes!A59</f>
        <v/>
      </c>
      <c r="B59" s="51">
        <f>VLOOKUP(C59,TABLAS!$A$3:$B$7,2)</f>
        <v/>
      </c>
      <c r="C59" s="54" t="n"/>
      <c r="D59" s="1">
        <f>VLOOKUP(E59,TABLAS!$A$22:$B$26,2)</f>
        <v/>
      </c>
      <c r="E59" s="54" t="n"/>
      <c r="F59" s="37">
        <f>+E59*C59</f>
        <v/>
      </c>
      <c r="G59" s="1" t="n"/>
      <c r="H59" s="1" t="n"/>
      <c r="I59" s="1" t="n"/>
      <c r="J59" s="1" t="n"/>
    </row>
    <row r="60">
      <c r="A60" s="68">
        <f>+Agentes!A60</f>
        <v/>
      </c>
      <c r="B60" s="51">
        <f>VLOOKUP(C60,TABLAS!$A$3:$B$7,2)</f>
        <v/>
      </c>
      <c r="C60" s="54" t="n"/>
      <c r="D60" s="1">
        <f>VLOOKUP(E60,TABLAS!$A$22:$B$26,2)</f>
        <v/>
      </c>
      <c r="E60" s="54" t="n"/>
      <c r="F60" s="37">
        <f>+E60*C60</f>
        <v/>
      </c>
      <c r="G60" s="1" t="n"/>
      <c r="H60" s="1" t="n"/>
      <c r="I60" s="1" t="n"/>
      <c r="J60" s="1" t="n"/>
    </row>
    <row r="61">
      <c r="A61" s="68">
        <f>+Agentes!A61</f>
        <v/>
      </c>
      <c r="B61" s="51">
        <f>VLOOKUP(C61,TABLAS!$A$3:$B$7,2)</f>
        <v/>
      </c>
      <c r="C61" s="54" t="n"/>
      <c r="D61" s="1">
        <f>VLOOKUP(E61,TABLAS!$A$22:$B$26,2)</f>
        <v/>
      </c>
      <c r="E61" s="54" t="n"/>
      <c r="F61" s="37">
        <f>+E61*C61</f>
        <v/>
      </c>
      <c r="G61" s="1" t="n"/>
      <c r="H61" s="1" t="n"/>
      <c r="I61" s="1" t="n"/>
      <c r="J61" s="1" t="n"/>
    </row>
    <row r="62">
      <c r="A62" s="68">
        <f>+Agentes!A62</f>
        <v/>
      </c>
      <c r="B62" s="51">
        <f>VLOOKUP(C62,TABLAS!$A$3:$B$7,2)</f>
        <v/>
      </c>
      <c r="C62" s="54" t="n"/>
      <c r="D62" s="1">
        <f>VLOOKUP(E62,TABLAS!$A$22:$B$26,2)</f>
        <v/>
      </c>
      <c r="E62" s="54" t="n"/>
      <c r="F62" s="37">
        <f>+E62*C62</f>
        <v/>
      </c>
      <c r="G62" s="1" t="n"/>
      <c r="H62" s="1" t="n"/>
      <c r="I62" s="1" t="n"/>
      <c r="J62" s="1" t="n"/>
    </row>
    <row r="63">
      <c r="A63" s="68">
        <f>+Agentes!A63</f>
        <v/>
      </c>
      <c r="B63" s="51">
        <f>VLOOKUP(C63,TABLAS!$A$3:$B$7,2)</f>
        <v/>
      </c>
      <c r="C63" s="54" t="n"/>
      <c r="D63" s="1">
        <f>VLOOKUP(E63,TABLAS!$A$22:$B$26,2)</f>
        <v/>
      </c>
      <c r="E63" s="54" t="n"/>
      <c r="F63" s="37">
        <f>+E63*C63</f>
        <v/>
      </c>
      <c r="G63" s="1" t="n"/>
      <c r="H63" s="1" t="n"/>
      <c r="I63" s="1" t="n"/>
      <c r="J63" s="1" t="n"/>
    </row>
    <row r="64">
      <c r="A64" s="68">
        <f>+Agentes!A64</f>
        <v/>
      </c>
      <c r="B64" s="51">
        <f>VLOOKUP(C64,TABLAS!$A$3:$B$7,2)</f>
        <v/>
      </c>
      <c r="C64" s="54" t="n"/>
      <c r="D64" s="1">
        <f>VLOOKUP(E64,TABLAS!$A$22:$B$26,2)</f>
        <v/>
      </c>
      <c r="E64" s="54" t="n"/>
      <c r="F64" s="37">
        <f>+E64*C64</f>
        <v/>
      </c>
      <c r="G64" s="1" t="n"/>
      <c r="H64" s="1" t="n"/>
      <c r="I64" s="1" t="n"/>
      <c r="J64" s="1" t="n"/>
    </row>
    <row r="65">
      <c r="A65" s="68">
        <f>+Agentes!A65</f>
        <v/>
      </c>
      <c r="B65" s="51">
        <f>VLOOKUP(C65,TABLAS!$A$3:$B$7,2)</f>
        <v/>
      </c>
      <c r="C65" s="54" t="n"/>
      <c r="D65" s="1">
        <f>VLOOKUP(E65,TABLAS!$A$22:$B$26,2)</f>
        <v/>
      </c>
      <c r="E65" s="54" t="n"/>
      <c r="F65" s="37">
        <f>+E65*C65</f>
        <v/>
      </c>
      <c r="G65" s="1" t="n"/>
      <c r="H65" s="1" t="n"/>
      <c r="I65" s="1" t="n"/>
      <c r="J65" s="1" t="n"/>
    </row>
    <row r="66">
      <c r="A66" s="68">
        <f>+Agentes!A66</f>
        <v/>
      </c>
      <c r="B66" s="51">
        <f>VLOOKUP(C66,TABLAS!$A$3:$B$7,2)</f>
        <v/>
      </c>
      <c r="C66" s="54" t="n"/>
      <c r="D66" s="1">
        <f>VLOOKUP(E66,TABLAS!$A$22:$B$26,2)</f>
        <v/>
      </c>
      <c r="E66" s="54" t="n"/>
      <c r="F66" s="37">
        <f>+E66*C66</f>
        <v/>
      </c>
      <c r="G66" s="1" t="n"/>
      <c r="H66" s="1" t="n"/>
      <c r="I66" s="1" t="n"/>
      <c r="J66" s="1" t="n"/>
    </row>
    <row r="67">
      <c r="A67" s="68">
        <f>+Agentes!A67</f>
        <v/>
      </c>
      <c r="B67" s="51">
        <f>VLOOKUP(C67,TABLAS!$A$3:$B$7,2)</f>
        <v/>
      </c>
      <c r="C67" s="54" t="n"/>
      <c r="D67" s="1">
        <f>VLOOKUP(E67,TABLAS!$A$22:$B$26,2)</f>
        <v/>
      </c>
      <c r="E67" s="54" t="n"/>
      <c r="F67" s="37">
        <f>+E67*C67</f>
        <v/>
      </c>
      <c r="G67" s="1" t="n"/>
      <c r="H67" s="1" t="n"/>
      <c r="I67" s="1" t="n"/>
      <c r="J67" s="1" t="n"/>
    </row>
    <row r="68">
      <c r="A68" s="68">
        <f>+Agentes!A68</f>
        <v/>
      </c>
      <c r="B68" s="51">
        <f>VLOOKUP(C68,TABLAS!$A$3:$B$7,2)</f>
        <v/>
      </c>
      <c r="C68" s="54" t="n"/>
      <c r="D68" s="1">
        <f>VLOOKUP(E68,TABLAS!$A$22:$B$26,2)</f>
        <v/>
      </c>
      <c r="E68" s="54" t="n"/>
      <c r="F68" s="37">
        <f>+E68*C68</f>
        <v/>
      </c>
      <c r="G68" s="1" t="n"/>
      <c r="H68" s="1" t="n"/>
      <c r="I68" s="1" t="n"/>
      <c r="J68" s="1" t="n"/>
    </row>
    <row r="69">
      <c r="A69" s="68">
        <f>+Agentes!A69</f>
        <v/>
      </c>
      <c r="B69" s="51">
        <f>VLOOKUP(C69,TABLAS!$A$3:$B$7,2)</f>
        <v/>
      </c>
      <c r="C69" s="54" t="n"/>
      <c r="D69" s="1">
        <f>VLOOKUP(E69,TABLAS!$A$22:$B$26,2)</f>
        <v/>
      </c>
      <c r="E69" s="54" t="n"/>
      <c r="F69" s="37">
        <f>+E69*C69</f>
        <v/>
      </c>
      <c r="G69" s="1" t="n"/>
      <c r="H69" s="1" t="n"/>
      <c r="I69" s="1" t="n"/>
      <c r="J69" s="1" t="n"/>
    </row>
    <row r="70">
      <c r="A70" s="68">
        <f>+Agentes!A70</f>
        <v/>
      </c>
      <c r="B70" s="51">
        <f>VLOOKUP(C70,TABLAS!$A$3:$B$7,2)</f>
        <v/>
      </c>
      <c r="C70" s="54" t="n"/>
      <c r="D70" s="1">
        <f>VLOOKUP(E70,TABLAS!$A$22:$B$26,2)</f>
        <v/>
      </c>
      <c r="E70" s="54" t="n"/>
      <c r="F70" s="37">
        <f>+E70*C70</f>
        <v/>
      </c>
      <c r="G70" s="1" t="n"/>
      <c r="H70" s="1" t="n"/>
      <c r="I70" s="1" t="n"/>
      <c r="J70" s="1" t="n"/>
    </row>
    <row r="71">
      <c r="A71" s="68">
        <f>+Agentes!A71</f>
        <v/>
      </c>
      <c r="B71" s="51">
        <f>VLOOKUP(C71,TABLAS!$A$3:$B$7,2)</f>
        <v/>
      </c>
      <c r="C71" s="54" t="n"/>
      <c r="D71" s="1">
        <f>VLOOKUP(E71,TABLAS!$A$22:$B$26,2)</f>
        <v/>
      </c>
      <c r="E71" s="54" t="n"/>
      <c r="F71" s="37">
        <f>+E71*C71</f>
        <v/>
      </c>
      <c r="G71" s="1" t="n"/>
      <c r="H71" s="1" t="n"/>
      <c r="I71" s="1" t="n"/>
      <c r="J71" s="1" t="n"/>
    </row>
    <row r="72">
      <c r="A72" s="68">
        <f>+Agentes!A72</f>
        <v/>
      </c>
      <c r="B72" s="51">
        <f>VLOOKUP(C72,TABLAS!$A$3:$B$7,2)</f>
        <v/>
      </c>
      <c r="C72" s="54" t="n"/>
      <c r="D72" s="1">
        <f>VLOOKUP(E72,TABLAS!$A$22:$B$26,2)</f>
        <v/>
      </c>
      <c r="E72" s="54" t="n"/>
      <c r="F72" s="37">
        <f>+E72*C72</f>
        <v/>
      </c>
      <c r="G72" s="1" t="n"/>
      <c r="H72" s="1" t="n"/>
      <c r="I72" s="1" t="n"/>
      <c r="J72" s="1" t="n"/>
    </row>
    <row r="73">
      <c r="A73" s="68">
        <f>+Agentes!A73</f>
        <v/>
      </c>
      <c r="B73" s="51">
        <f>VLOOKUP(C73,TABLAS!$A$3:$B$7,2)</f>
        <v/>
      </c>
      <c r="C73" s="54" t="n"/>
      <c r="D73" s="1">
        <f>VLOOKUP(E73,TABLAS!$A$22:$B$26,2)</f>
        <v/>
      </c>
      <c r="E73" s="54" t="n"/>
      <c r="F73" s="37">
        <f>+E73*C73</f>
        <v/>
      </c>
      <c r="G73" s="1" t="n"/>
      <c r="H73" s="1" t="n"/>
      <c r="I73" s="1" t="n"/>
      <c r="J73" s="1" t="n"/>
    </row>
    <row r="74">
      <c r="A74" s="68">
        <f>+Agentes!A74</f>
        <v/>
      </c>
      <c r="B74" s="51">
        <f>VLOOKUP(C74,TABLAS!$A$3:$B$7,2)</f>
        <v/>
      </c>
      <c r="C74" s="54" t="n"/>
      <c r="D74" s="1">
        <f>VLOOKUP(E74,TABLAS!$A$22:$B$26,2)</f>
        <v/>
      </c>
      <c r="E74" s="54" t="n"/>
      <c r="F74" s="37">
        <f>+E74*C74</f>
        <v/>
      </c>
      <c r="G74" s="1" t="n"/>
      <c r="H74" s="1" t="n"/>
      <c r="I74" s="1" t="n"/>
      <c r="J74" s="1" t="n"/>
    </row>
    <row r="75">
      <c r="A75" s="68">
        <f>+Agentes!A75</f>
        <v/>
      </c>
      <c r="B75" s="51">
        <f>VLOOKUP(C75,TABLAS!$A$3:$B$7,2)</f>
        <v/>
      </c>
      <c r="C75" s="54" t="n"/>
      <c r="D75" s="1">
        <f>VLOOKUP(E75,TABLAS!$A$22:$B$26,2)</f>
        <v/>
      </c>
      <c r="E75" s="54" t="n"/>
      <c r="F75" s="37">
        <f>+E75*C75</f>
        <v/>
      </c>
      <c r="G75" s="1" t="n"/>
      <c r="H75" s="1" t="n"/>
      <c r="I75" s="1" t="n"/>
      <c r="J75" s="1" t="n"/>
    </row>
    <row r="76">
      <c r="A76" s="68">
        <f>+Agentes!A76</f>
        <v/>
      </c>
      <c r="B76" s="51">
        <f>VLOOKUP(C76,TABLAS!$A$3:$B$7,2)</f>
        <v/>
      </c>
      <c r="C76" s="54" t="n"/>
      <c r="D76" s="1">
        <f>VLOOKUP(E76,TABLAS!$A$22:$B$26,2)</f>
        <v/>
      </c>
      <c r="E76" s="54" t="n"/>
      <c r="F76" s="37">
        <f>+E76*C76</f>
        <v/>
      </c>
      <c r="G76" s="1" t="n"/>
      <c r="H76" s="1" t="n"/>
      <c r="I76" s="1" t="n"/>
      <c r="J76" s="1" t="n"/>
    </row>
    <row r="77">
      <c r="A77" s="68">
        <f>+Agentes!A77</f>
        <v/>
      </c>
      <c r="B77" s="51">
        <f>VLOOKUP(C77,TABLAS!$A$3:$B$7,2)</f>
        <v/>
      </c>
      <c r="C77" s="54" t="n"/>
      <c r="D77" s="1">
        <f>VLOOKUP(E77,TABLAS!$A$22:$B$26,2)</f>
        <v/>
      </c>
      <c r="E77" s="54" t="n"/>
      <c r="F77" s="37">
        <f>+E77*C77</f>
        <v/>
      </c>
      <c r="G77" s="1" t="n"/>
      <c r="H77" s="1" t="n"/>
      <c r="I77" s="1" t="n"/>
      <c r="J77" s="1" t="n"/>
    </row>
    <row r="78">
      <c r="A78" s="68">
        <f>+Agentes!A78</f>
        <v/>
      </c>
      <c r="B78" s="51">
        <f>VLOOKUP(C78,TABLAS!$A$3:$B$7,2)</f>
        <v/>
      </c>
      <c r="C78" s="54" t="n"/>
      <c r="D78" s="1">
        <f>VLOOKUP(E78,TABLAS!$A$22:$B$26,2)</f>
        <v/>
      </c>
      <c r="E78" s="54" t="n"/>
      <c r="F78" s="37">
        <f>+E78*C78</f>
        <v/>
      </c>
      <c r="G78" s="1" t="n"/>
      <c r="H78" s="1" t="n"/>
      <c r="I78" s="1" t="n"/>
      <c r="J78" s="1" t="n"/>
    </row>
    <row r="79">
      <c r="A79" s="68">
        <f>+Agentes!A79</f>
        <v/>
      </c>
      <c r="B79" s="51">
        <f>VLOOKUP(C79,TABLAS!$A$3:$B$7,2)</f>
        <v/>
      </c>
      <c r="C79" s="54" t="n"/>
      <c r="D79" s="1">
        <f>VLOOKUP(E79,TABLAS!$A$22:$B$26,2)</f>
        <v/>
      </c>
      <c r="E79" s="54" t="n"/>
      <c r="F79" s="37">
        <f>+E79*C79</f>
        <v/>
      </c>
      <c r="G79" s="1" t="n"/>
      <c r="H79" s="1" t="n"/>
      <c r="I79" s="1" t="n"/>
      <c r="J79" s="1" t="n"/>
    </row>
    <row r="80">
      <c r="A80" s="68">
        <f>+Agentes!A80</f>
        <v/>
      </c>
      <c r="B80" s="51">
        <f>VLOOKUP(C80,TABLAS!$A$3:$B$7,2)</f>
        <v/>
      </c>
      <c r="C80" s="54" t="n"/>
      <c r="D80" s="1">
        <f>VLOOKUP(E80,TABLAS!$A$22:$B$26,2)</f>
        <v/>
      </c>
      <c r="E80" s="54" t="n"/>
      <c r="F80" s="37">
        <f>+E80*C80</f>
        <v/>
      </c>
      <c r="G80" s="1" t="n"/>
      <c r="H80" s="1" t="n"/>
      <c r="I80" s="1" t="n"/>
      <c r="J80" s="1" t="n"/>
    </row>
    <row r="81">
      <c r="A81" s="68">
        <f>+Agentes!A81</f>
        <v/>
      </c>
      <c r="B81" s="51">
        <f>VLOOKUP(C81,TABLAS!$A$3:$B$7,2)</f>
        <v/>
      </c>
      <c r="C81" s="54" t="n"/>
      <c r="D81" s="1">
        <f>VLOOKUP(E81,TABLAS!$A$22:$B$26,2)</f>
        <v/>
      </c>
      <c r="E81" s="54" t="n"/>
      <c r="F81" s="37">
        <f>+E81*C81</f>
        <v/>
      </c>
      <c r="G81" s="1" t="n"/>
      <c r="H81" s="1" t="n"/>
      <c r="I81" s="1" t="n"/>
      <c r="J81" s="1" t="n"/>
    </row>
    <row r="82">
      <c r="A82" s="68">
        <f>+Agentes!A82</f>
        <v/>
      </c>
      <c r="B82" s="51">
        <f>VLOOKUP(C82,TABLAS!$A$3:$B$7,2)</f>
        <v/>
      </c>
      <c r="C82" s="54" t="n"/>
      <c r="D82" s="1">
        <f>VLOOKUP(E82,TABLAS!$A$22:$B$26,2)</f>
        <v/>
      </c>
      <c r="E82" s="54" t="n"/>
      <c r="F82" s="37">
        <f>+E82*C82</f>
        <v/>
      </c>
      <c r="G82" s="1" t="n"/>
      <c r="H82" s="1" t="n"/>
      <c r="I82" s="1" t="n"/>
      <c r="J82" s="1" t="n"/>
    </row>
    <row r="83">
      <c r="A83" s="68">
        <f>+Agentes!A83</f>
        <v/>
      </c>
      <c r="B83" s="51">
        <f>VLOOKUP(C83,TABLAS!$A$3:$B$7,2)</f>
        <v/>
      </c>
      <c r="C83" s="54" t="n"/>
      <c r="D83" s="1">
        <f>VLOOKUP(E83,TABLAS!$A$22:$B$26,2)</f>
        <v/>
      </c>
      <c r="E83" s="54" t="n"/>
      <c r="F83" s="37">
        <f>+E83*C83</f>
        <v/>
      </c>
      <c r="G83" s="1" t="n"/>
      <c r="H83" s="1" t="n"/>
      <c r="I83" s="1" t="n"/>
      <c r="J83" s="1" t="n"/>
    </row>
    <row r="84">
      <c r="A84" s="68">
        <f>+Agentes!A84</f>
        <v/>
      </c>
      <c r="B84" s="51">
        <f>VLOOKUP(C84,TABLAS!$A$3:$B$7,2)</f>
        <v/>
      </c>
      <c r="C84" s="54" t="n"/>
      <c r="D84" s="1">
        <f>VLOOKUP(E84,TABLAS!$A$22:$B$26,2)</f>
        <v/>
      </c>
      <c r="E84" s="54" t="n"/>
      <c r="F84" s="37">
        <f>+E84*C84</f>
        <v/>
      </c>
      <c r="G84" s="1" t="n"/>
      <c r="H84" s="1" t="n"/>
      <c r="I84" s="1" t="n"/>
      <c r="J84" s="1" t="n"/>
    </row>
    <row r="85">
      <c r="A85" s="68">
        <f>+Agentes!A85</f>
        <v/>
      </c>
      <c r="B85" s="51">
        <f>VLOOKUP(C85,TABLAS!$A$3:$B$7,2)</f>
        <v/>
      </c>
      <c r="C85" s="54" t="n"/>
      <c r="D85" s="1">
        <f>VLOOKUP(E85,TABLAS!$A$22:$B$26,2)</f>
        <v/>
      </c>
      <c r="E85" s="54" t="n"/>
      <c r="F85" s="37">
        <f>+E85*C85</f>
        <v/>
      </c>
      <c r="G85" s="1" t="n"/>
      <c r="H85" s="1" t="n"/>
      <c r="I85" s="1" t="n"/>
      <c r="J85" s="1" t="n"/>
    </row>
    <row r="86">
      <c r="A86" s="68">
        <f>+Agentes!A86</f>
        <v/>
      </c>
      <c r="B86" s="51">
        <f>VLOOKUP(C86,TABLAS!$A$3:$B$7,2)</f>
        <v/>
      </c>
      <c r="C86" s="54" t="n"/>
      <c r="D86" s="1">
        <f>VLOOKUP(E86,TABLAS!$A$22:$B$26,2)</f>
        <v/>
      </c>
      <c r="E86" s="54" t="n"/>
      <c r="F86" s="37">
        <f>+E86*C86</f>
        <v/>
      </c>
      <c r="G86" s="1" t="n"/>
      <c r="H86" s="1" t="n"/>
      <c r="I86" s="1" t="n"/>
      <c r="J86" s="1" t="n"/>
    </row>
    <row r="87">
      <c r="A87" s="68">
        <f>+Agentes!A87</f>
        <v/>
      </c>
      <c r="B87" s="51">
        <f>VLOOKUP(C87,TABLAS!$A$3:$B$7,2)</f>
        <v/>
      </c>
      <c r="C87" s="54" t="n"/>
      <c r="D87" s="1">
        <f>VLOOKUP(E87,TABLAS!$A$22:$B$26,2)</f>
        <v/>
      </c>
      <c r="E87" s="54" t="n"/>
      <c r="F87" s="37">
        <f>+E87*C87</f>
        <v/>
      </c>
      <c r="G87" s="1" t="n"/>
      <c r="H87" s="1" t="n"/>
      <c r="I87" s="1" t="n"/>
      <c r="J87" s="1" t="n"/>
    </row>
    <row r="88">
      <c r="A88" s="68">
        <f>+Agentes!A88</f>
        <v/>
      </c>
      <c r="B88" s="51">
        <f>VLOOKUP(C88,TABLAS!$A$3:$B$7,2)</f>
        <v/>
      </c>
      <c r="C88" s="54" t="n"/>
      <c r="D88" s="1">
        <f>VLOOKUP(E88,TABLAS!$A$22:$B$26,2)</f>
        <v/>
      </c>
      <c r="E88" s="54" t="n"/>
      <c r="F88" s="37">
        <f>+E88*C88</f>
        <v/>
      </c>
      <c r="G88" s="1" t="n"/>
      <c r="H88" s="1" t="n"/>
      <c r="I88" s="1" t="n"/>
      <c r="J88" s="1" t="n"/>
    </row>
    <row r="89">
      <c r="A89" s="68">
        <f>+Agentes!A89</f>
        <v/>
      </c>
      <c r="B89" s="51">
        <f>VLOOKUP(C89,TABLAS!$A$3:$B$7,2)</f>
        <v/>
      </c>
      <c r="C89" s="54" t="n"/>
      <c r="D89" s="1">
        <f>VLOOKUP(E89,TABLAS!$A$22:$B$26,2)</f>
        <v/>
      </c>
      <c r="E89" s="54" t="n"/>
      <c r="F89" s="37">
        <f>+E89*C89</f>
        <v/>
      </c>
      <c r="G89" s="1" t="n"/>
      <c r="H89" s="1" t="n"/>
      <c r="I89" s="1" t="n"/>
      <c r="J89" s="1" t="n"/>
    </row>
    <row r="90">
      <c r="A90" s="68">
        <f>+Agentes!A90</f>
        <v/>
      </c>
      <c r="B90" s="51">
        <f>VLOOKUP(C90,TABLAS!$A$3:$B$7,2)</f>
        <v/>
      </c>
      <c r="C90" s="54" t="n"/>
      <c r="D90" s="1">
        <f>VLOOKUP(E90,TABLAS!$A$22:$B$26,2)</f>
        <v/>
      </c>
      <c r="E90" s="54" t="n"/>
      <c r="F90" s="37">
        <f>+E90*C90</f>
        <v/>
      </c>
      <c r="G90" s="1" t="n"/>
      <c r="H90" s="1" t="n"/>
      <c r="I90" s="1" t="n"/>
      <c r="J90" s="1" t="n"/>
    </row>
    <row r="91">
      <c r="A91" s="68">
        <f>+Agentes!A91</f>
        <v/>
      </c>
      <c r="B91" s="51">
        <f>VLOOKUP(C91,TABLAS!$A$3:$B$7,2)</f>
        <v/>
      </c>
      <c r="C91" s="54" t="n"/>
      <c r="D91" s="1">
        <f>VLOOKUP(E91,TABLAS!$A$22:$B$26,2)</f>
        <v/>
      </c>
      <c r="E91" s="54" t="n"/>
      <c r="F91" s="37">
        <f>+E91*C91</f>
        <v/>
      </c>
      <c r="G91" s="1" t="n"/>
      <c r="H91" s="1" t="n"/>
      <c r="I91" s="1" t="n"/>
      <c r="J91" s="1" t="n"/>
    </row>
    <row r="92">
      <c r="A92" s="68">
        <f>+Agentes!A92</f>
        <v/>
      </c>
      <c r="B92" s="51">
        <f>VLOOKUP(C92,TABLAS!$A$3:$B$7,2)</f>
        <v/>
      </c>
      <c r="C92" s="54" t="n"/>
      <c r="D92" s="1">
        <f>VLOOKUP(E92,TABLAS!$A$22:$B$26,2)</f>
        <v/>
      </c>
      <c r="E92" s="54" t="n"/>
      <c r="F92" s="37">
        <f>+E92*C92</f>
        <v/>
      </c>
      <c r="G92" s="1" t="n"/>
      <c r="H92" s="1" t="n"/>
      <c r="I92" s="1" t="n"/>
      <c r="J92" s="1" t="n"/>
    </row>
    <row r="93">
      <c r="A93" s="68">
        <f>+Agentes!A93</f>
        <v/>
      </c>
      <c r="B93" s="51">
        <f>VLOOKUP(C93,TABLAS!$A$3:$B$7,2)</f>
        <v/>
      </c>
      <c r="C93" s="54" t="n"/>
      <c r="D93" s="1">
        <f>VLOOKUP(E93,TABLAS!$A$22:$B$26,2)</f>
        <v/>
      </c>
      <c r="E93" s="54" t="n"/>
      <c r="F93" s="37">
        <f>+E93*C93</f>
        <v/>
      </c>
      <c r="G93" s="1" t="n"/>
      <c r="H93" s="1" t="n"/>
      <c r="I93" s="1" t="n"/>
      <c r="J93" s="1" t="n"/>
    </row>
    <row r="94">
      <c r="A94" s="68">
        <f>+Agentes!A94</f>
        <v/>
      </c>
      <c r="B94" s="51">
        <f>VLOOKUP(C94,TABLAS!$A$3:$B$7,2)</f>
        <v/>
      </c>
      <c r="C94" s="54" t="n"/>
      <c r="D94" s="1">
        <f>VLOOKUP(E94,TABLAS!$A$22:$B$26,2)</f>
        <v/>
      </c>
      <c r="E94" s="54" t="n"/>
      <c r="F94" s="37">
        <f>+E94*C94</f>
        <v/>
      </c>
      <c r="G94" s="1" t="n"/>
      <c r="H94" s="1" t="n"/>
      <c r="I94" s="1" t="n"/>
      <c r="J94" s="1" t="n"/>
    </row>
    <row r="95">
      <c r="A95" s="68">
        <f>+Agentes!A95</f>
        <v/>
      </c>
      <c r="B95" s="51">
        <f>VLOOKUP(C95,TABLAS!$A$3:$B$7,2)</f>
        <v/>
      </c>
      <c r="C95" s="54" t="n"/>
      <c r="D95" s="1">
        <f>VLOOKUP(E95,TABLAS!$A$22:$B$26,2)</f>
        <v/>
      </c>
      <c r="E95" s="54" t="n"/>
      <c r="F95" s="37">
        <f>+E95*C95</f>
        <v/>
      </c>
      <c r="G95" s="1" t="n"/>
      <c r="H95" s="1" t="n"/>
      <c r="I95" s="1" t="n"/>
      <c r="J95" s="1" t="n"/>
    </row>
    <row r="96">
      <c r="A96" s="68">
        <f>+Agentes!A96</f>
        <v/>
      </c>
      <c r="B96" s="51">
        <f>VLOOKUP(C96,TABLAS!$A$3:$B$7,2)</f>
        <v/>
      </c>
      <c r="C96" s="54" t="n"/>
      <c r="D96" s="1">
        <f>VLOOKUP(E96,TABLAS!$A$22:$B$26,2)</f>
        <v/>
      </c>
      <c r="E96" s="54" t="n"/>
      <c r="F96" s="37">
        <f>+E96*C96</f>
        <v/>
      </c>
      <c r="G96" s="1" t="n"/>
      <c r="H96" s="1" t="n"/>
      <c r="I96" s="1" t="n"/>
      <c r="J96" s="1" t="n"/>
    </row>
    <row r="97">
      <c r="A97" s="68">
        <f>+Agentes!A97</f>
        <v/>
      </c>
      <c r="B97" s="51">
        <f>VLOOKUP(C97,TABLAS!$A$3:$B$7,2)</f>
        <v/>
      </c>
      <c r="C97" s="54" t="n"/>
      <c r="D97" s="1">
        <f>VLOOKUP(E97,TABLAS!$A$22:$B$26,2)</f>
        <v/>
      </c>
      <c r="E97" s="54" t="n"/>
      <c r="F97" s="37">
        <f>+E97*C97</f>
        <v/>
      </c>
      <c r="G97" s="1" t="n"/>
      <c r="H97" s="1" t="n"/>
      <c r="I97" s="1" t="n"/>
      <c r="J97" s="1" t="n"/>
    </row>
    <row r="98">
      <c r="A98" s="68">
        <f>+Agentes!A98</f>
        <v/>
      </c>
      <c r="B98" s="51">
        <f>VLOOKUP(C98,TABLAS!$A$3:$B$7,2)</f>
        <v/>
      </c>
      <c r="C98" s="54" t="n"/>
      <c r="D98" s="1">
        <f>VLOOKUP(E98,TABLAS!$A$22:$B$26,2)</f>
        <v/>
      </c>
      <c r="E98" s="54" t="n"/>
      <c r="F98" s="37">
        <f>+E98*C98</f>
        <v/>
      </c>
      <c r="G98" s="1" t="n"/>
      <c r="H98" s="1" t="n"/>
      <c r="I98" s="1" t="n"/>
      <c r="J98" s="1" t="n"/>
    </row>
    <row r="99">
      <c r="A99" s="68">
        <f>+Agentes!A99</f>
        <v/>
      </c>
      <c r="B99" s="51">
        <f>VLOOKUP(C99,TABLAS!$A$3:$B$7,2)</f>
        <v/>
      </c>
      <c r="C99" s="54" t="n"/>
      <c r="D99" s="1">
        <f>VLOOKUP(E99,TABLAS!$A$22:$B$26,2)</f>
        <v/>
      </c>
      <c r="E99" s="54" t="n"/>
      <c r="F99" s="37">
        <f>+E99*C99</f>
        <v/>
      </c>
      <c r="G99" s="1" t="n"/>
      <c r="H99" s="1" t="n"/>
      <c r="I99" s="1" t="n"/>
      <c r="J99" s="1" t="n"/>
    </row>
    <row r="100">
      <c r="A100" s="68">
        <f>+Agentes!A100</f>
        <v/>
      </c>
      <c r="B100" s="51">
        <f>VLOOKUP(C100,TABLAS!$A$3:$B$7,2)</f>
        <v/>
      </c>
      <c r="C100" s="54" t="n"/>
      <c r="D100" s="1">
        <f>VLOOKUP(E100,TABLAS!$A$22:$B$26,2)</f>
        <v/>
      </c>
      <c r="E100" s="54" t="n"/>
      <c r="F100" s="37">
        <f>+E100*C100</f>
        <v/>
      </c>
      <c r="G100" s="1" t="n"/>
      <c r="H100" s="1" t="n"/>
      <c r="I100" s="1" t="n"/>
      <c r="J100" s="1" t="n"/>
    </row>
    <row r="101">
      <c r="A101" s="68">
        <f>+Agentes!A101</f>
        <v/>
      </c>
      <c r="B101" s="51">
        <f>VLOOKUP(C101,TABLAS!$A$3:$B$7,2)</f>
        <v/>
      </c>
      <c r="C101" s="54" t="n"/>
      <c r="D101" s="1">
        <f>VLOOKUP(E101,TABLAS!$A$22:$B$26,2)</f>
        <v/>
      </c>
      <c r="E101" s="54" t="n"/>
      <c r="F101" s="37">
        <f>+E101*C101</f>
        <v/>
      </c>
      <c r="G101" s="1" t="n"/>
      <c r="H101" s="1" t="n"/>
      <c r="I101" s="1" t="n"/>
      <c r="J101" s="1" t="n"/>
    </row>
    <row r="102">
      <c r="A102" s="68">
        <f>+Agentes!A102</f>
        <v/>
      </c>
      <c r="B102" s="51">
        <f>VLOOKUP(C102,TABLAS!$A$3:$B$7,2)</f>
        <v/>
      </c>
      <c r="C102" s="54" t="n"/>
      <c r="D102" s="1">
        <f>VLOOKUP(E102,TABLAS!$A$22:$B$26,2)</f>
        <v/>
      </c>
      <c r="E102" s="54" t="n"/>
      <c r="F102" s="37">
        <f>+E102*C102</f>
        <v/>
      </c>
      <c r="G102" s="1" t="n"/>
      <c r="H102" s="1" t="n"/>
      <c r="I102" s="1" t="n"/>
      <c r="J102" s="1" t="n"/>
    </row>
    <row r="103">
      <c r="A103" s="68">
        <f>+Agentes!A103</f>
        <v/>
      </c>
      <c r="B103" s="51">
        <f>VLOOKUP(C103,TABLAS!$A$3:$B$7,2)</f>
        <v/>
      </c>
      <c r="C103" s="54" t="n"/>
      <c r="D103" s="1">
        <f>VLOOKUP(E103,TABLAS!$A$22:$B$26,2)</f>
        <v/>
      </c>
      <c r="E103" s="54" t="n"/>
      <c r="F103" s="37">
        <f>+E103*C103</f>
        <v/>
      </c>
      <c r="G103" s="1" t="n"/>
      <c r="H103" s="1" t="n"/>
      <c r="I103" s="1" t="n"/>
      <c r="J103" s="1" t="n"/>
    </row>
    <row r="104">
      <c r="A104" s="68">
        <f>+Agentes!A104</f>
        <v/>
      </c>
      <c r="B104" s="51">
        <f>VLOOKUP(C104,TABLAS!$A$3:$B$7,2)</f>
        <v/>
      </c>
      <c r="C104" s="54" t="n"/>
      <c r="D104" s="1">
        <f>VLOOKUP(E104,TABLAS!$A$22:$B$26,2)</f>
        <v/>
      </c>
      <c r="E104" s="54" t="n"/>
      <c r="F104" s="37">
        <f>+E104*C104</f>
        <v/>
      </c>
      <c r="G104" s="1" t="n"/>
      <c r="H104" s="1" t="n"/>
      <c r="I104" s="1" t="n"/>
      <c r="J104" s="1" t="n"/>
    </row>
    <row r="105">
      <c r="A105" s="68">
        <f>+Agentes!A105</f>
        <v/>
      </c>
      <c r="B105" s="51">
        <f>VLOOKUP(C105,TABLAS!$A$3:$B$7,2)</f>
        <v/>
      </c>
      <c r="C105" s="54" t="n"/>
      <c r="D105" s="1">
        <f>VLOOKUP(E105,TABLAS!$A$22:$B$26,2)</f>
        <v/>
      </c>
      <c r="E105" s="54" t="n"/>
      <c r="F105" s="37">
        <f>+E105*C105</f>
        <v/>
      </c>
      <c r="G105" s="1" t="n"/>
      <c r="H105" s="1" t="n"/>
      <c r="I105" s="1" t="n"/>
      <c r="J105" s="1" t="n"/>
    </row>
    <row r="106">
      <c r="A106" s="68">
        <f>+Agentes!A106</f>
        <v/>
      </c>
      <c r="B106" s="51">
        <f>VLOOKUP(C106,TABLAS!$A$3:$B$7,2)</f>
        <v/>
      </c>
      <c r="C106" s="54" t="n"/>
      <c r="D106" s="1">
        <f>VLOOKUP(E106,TABLAS!$A$22:$B$26,2)</f>
        <v/>
      </c>
      <c r="E106" s="54" t="n"/>
      <c r="F106" s="37">
        <f>+E106*C106</f>
        <v/>
      </c>
      <c r="G106" s="1" t="n"/>
      <c r="H106" s="1" t="n"/>
      <c r="I106" s="1" t="n"/>
      <c r="J106" s="1" t="n"/>
    </row>
    <row r="107">
      <c r="A107" s="68">
        <f>+Agentes!A107</f>
        <v/>
      </c>
      <c r="B107" s="51">
        <f>VLOOKUP(C107,TABLAS!$A$3:$B$7,2)</f>
        <v/>
      </c>
      <c r="C107" s="54" t="n"/>
      <c r="D107" s="1">
        <f>VLOOKUP(E107,TABLAS!$A$22:$B$26,2)</f>
        <v/>
      </c>
      <c r="E107" s="54" t="n"/>
      <c r="F107" s="37">
        <f>+E107*C107</f>
        <v/>
      </c>
      <c r="G107" s="1" t="n"/>
      <c r="H107" s="1" t="n"/>
      <c r="I107" s="1" t="n"/>
      <c r="J107" s="1" t="n"/>
    </row>
    <row r="108">
      <c r="A108" s="68">
        <f>+Agentes!A108</f>
        <v/>
      </c>
      <c r="B108" s="51">
        <f>VLOOKUP(C108,TABLAS!$A$3:$B$7,2)</f>
        <v/>
      </c>
      <c r="C108" s="54" t="n"/>
      <c r="D108" s="1">
        <f>VLOOKUP(E108,TABLAS!$A$22:$B$26,2)</f>
        <v/>
      </c>
      <c r="E108" s="54" t="n"/>
      <c r="F108" s="37">
        <f>+E108*C108</f>
        <v/>
      </c>
      <c r="G108" s="1" t="n"/>
      <c r="H108" s="1" t="n"/>
      <c r="I108" s="1" t="n"/>
      <c r="J108" s="1" t="n"/>
    </row>
    <row r="109">
      <c r="A109" s="68">
        <f>+Agentes!A109</f>
        <v/>
      </c>
      <c r="B109" s="51">
        <f>VLOOKUP(C109,TABLAS!$A$3:$B$7,2)</f>
        <v/>
      </c>
      <c r="C109" s="54" t="n"/>
      <c r="D109" s="1">
        <f>VLOOKUP(E109,TABLAS!$A$22:$B$26,2)</f>
        <v/>
      </c>
      <c r="E109" s="54" t="n"/>
      <c r="F109" s="37">
        <f>+E109*C109</f>
        <v/>
      </c>
      <c r="G109" s="1" t="n"/>
      <c r="H109" s="1" t="n"/>
      <c r="I109" s="1" t="n"/>
      <c r="J109" s="1" t="n"/>
    </row>
    <row r="110">
      <c r="A110" s="68">
        <f>+Agentes!A110</f>
        <v/>
      </c>
      <c r="B110" s="51">
        <f>VLOOKUP(C110,TABLAS!$A$3:$B$7,2)</f>
        <v/>
      </c>
      <c r="C110" s="54" t="n"/>
      <c r="D110" s="1">
        <f>VLOOKUP(E110,TABLAS!$A$22:$B$26,2)</f>
        <v/>
      </c>
      <c r="E110" s="54" t="n"/>
      <c r="F110" s="37">
        <f>+E110*C110</f>
        <v/>
      </c>
      <c r="G110" s="1" t="n"/>
      <c r="H110" s="1" t="n"/>
      <c r="I110" s="1" t="n"/>
      <c r="J110" s="1" t="n"/>
    </row>
    <row r="111">
      <c r="A111" s="68">
        <f>+Agentes!A111</f>
        <v/>
      </c>
      <c r="B111" s="51">
        <f>VLOOKUP(C111,TABLAS!$A$3:$B$7,2)</f>
        <v/>
      </c>
      <c r="C111" s="54" t="n"/>
      <c r="D111" s="1">
        <f>VLOOKUP(E111,TABLAS!$A$22:$B$26,2)</f>
        <v/>
      </c>
      <c r="E111" s="54" t="n"/>
      <c r="F111" s="37">
        <f>+E111*C111</f>
        <v/>
      </c>
      <c r="G111" s="1" t="n"/>
      <c r="H111" s="1" t="n"/>
      <c r="I111" s="1" t="n"/>
      <c r="J111" s="1" t="n"/>
    </row>
    <row r="112">
      <c r="A112" s="68">
        <f>+Agentes!A112</f>
        <v/>
      </c>
      <c r="B112" s="51">
        <f>VLOOKUP(C112,TABLAS!$A$3:$B$7,2)</f>
        <v/>
      </c>
      <c r="C112" s="54" t="n"/>
      <c r="D112" s="1">
        <f>VLOOKUP(E112,TABLAS!$A$22:$B$26,2)</f>
        <v/>
      </c>
      <c r="E112" s="54" t="n"/>
      <c r="F112" s="37">
        <f>+E112*C112</f>
        <v/>
      </c>
      <c r="G112" s="1" t="n"/>
      <c r="H112" s="1" t="n"/>
      <c r="I112" s="1" t="n"/>
      <c r="J112" s="1" t="n"/>
    </row>
    <row r="113">
      <c r="A113" s="68">
        <f>+Agentes!A113</f>
        <v/>
      </c>
      <c r="B113" s="51">
        <f>VLOOKUP(C113,TABLAS!$A$3:$B$7,2)</f>
        <v/>
      </c>
      <c r="C113" s="54" t="n"/>
      <c r="D113" s="1">
        <f>VLOOKUP(E113,TABLAS!$A$22:$B$26,2)</f>
        <v/>
      </c>
      <c r="E113" s="54" t="n"/>
      <c r="F113" s="37">
        <f>+E113*C113</f>
        <v/>
      </c>
      <c r="G113" s="1" t="n"/>
      <c r="H113" s="1" t="n"/>
      <c r="I113" s="1" t="n"/>
      <c r="J113" s="1" t="n"/>
    </row>
    <row r="114">
      <c r="A114" s="68">
        <f>+Agentes!A114</f>
        <v/>
      </c>
      <c r="B114" s="51">
        <f>VLOOKUP(C114,TABLAS!$A$3:$B$7,2)</f>
        <v/>
      </c>
      <c r="C114" s="54" t="n"/>
      <c r="D114" s="1">
        <f>VLOOKUP(E114,TABLAS!$A$22:$B$26,2)</f>
        <v/>
      </c>
      <c r="E114" s="54" t="n"/>
      <c r="F114" s="37">
        <f>+E114*C114</f>
        <v/>
      </c>
      <c r="G114" s="1" t="n"/>
      <c r="H114" s="1" t="n"/>
      <c r="I114" s="1" t="n"/>
      <c r="J114" s="1" t="n"/>
    </row>
    <row r="115">
      <c r="A115" s="68">
        <f>+Agentes!A115</f>
        <v/>
      </c>
      <c r="B115" s="51">
        <f>VLOOKUP(C115,TABLAS!$A$3:$B$7,2)</f>
        <v/>
      </c>
      <c r="C115" s="54" t="n"/>
      <c r="D115" s="1">
        <f>VLOOKUP(E115,TABLAS!$A$22:$B$26,2)</f>
        <v/>
      </c>
      <c r="E115" s="54" t="n"/>
      <c r="F115" s="37">
        <f>+E115*C115</f>
        <v/>
      </c>
      <c r="G115" s="1" t="n"/>
      <c r="H115" s="1" t="n"/>
      <c r="I115" s="1" t="n"/>
      <c r="J115" s="1" t="n"/>
    </row>
    <row r="116">
      <c r="A116" s="68">
        <f>+Agentes!A116</f>
        <v/>
      </c>
      <c r="B116" s="51">
        <f>VLOOKUP(C116,TABLAS!$A$3:$B$7,2)</f>
        <v/>
      </c>
      <c r="C116" s="54" t="n"/>
      <c r="D116" s="1">
        <f>VLOOKUP(E116,TABLAS!$A$22:$B$26,2)</f>
        <v/>
      </c>
      <c r="E116" s="54" t="n"/>
      <c r="F116" s="37">
        <f>+E116*C116</f>
        <v/>
      </c>
      <c r="G116" s="1" t="n"/>
      <c r="H116" s="1" t="n"/>
      <c r="I116" s="1" t="n"/>
      <c r="J116" s="1" t="n"/>
    </row>
    <row r="117">
      <c r="A117" s="68">
        <f>+Agentes!A117</f>
        <v/>
      </c>
      <c r="B117" s="51">
        <f>VLOOKUP(C117,TABLAS!$A$3:$B$7,2)</f>
        <v/>
      </c>
      <c r="C117" s="54" t="n"/>
      <c r="D117" s="1">
        <f>VLOOKUP(E117,TABLAS!$A$22:$B$26,2)</f>
        <v/>
      </c>
      <c r="E117" s="54" t="n"/>
      <c r="F117" s="37">
        <f>+E117*C117</f>
        <v/>
      </c>
      <c r="G117" s="1" t="n"/>
      <c r="H117" s="1" t="n"/>
      <c r="I117" s="1" t="n"/>
      <c r="J117" s="1" t="n"/>
    </row>
    <row r="118">
      <c r="A118" s="68">
        <f>+Agentes!A118</f>
        <v/>
      </c>
      <c r="B118" s="51">
        <f>VLOOKUP(C118,TABLAS!$A$3:$B$7,2)</f>
        <v/>
      </c>
      <c r="C118" s="54" t="n"/>
      <c r="D118" s="1">
        <f>VLOOKUP(E118,TABLAS!$A$22:$B$26,2)</f>
        <v/>
      </c>
      <c r="E118" s="54" t="n"/>
      <c r="F118" s="37">
        <f>+E118*C118</f>
        <v/>
      </c>
      <c r="G118" s="1" t="n"/>
      <c r="H118" s="1" t="n"/>
      <c r="I118" s="1" t="n"/>
      <c r="J118" s="1" t="n"/>
    </row>
    <row r="119">
      <c r="A119" s="68">
        <f>+Agentes!A119</f>
        <v/>
      </c>
      <c r="B119" s="51">
        <f>VLOOKUP(C119,TABLAS!$A$3:$B$7,2)</f>
        <v/>
      </c>
      <c r="C119" s="54" t="n"/>
      <c r="D119" s="1">
        <f>VLOOKUP(E119,TABLAS!$A$22:$B$26,2)</f>
        <v/>
      </c>
      <c r="E119" s="54" t="n"/>
      <c r="F119" s="37">
        <f>+E119*C119</f>
        <v/>
      </c>
      <c r="G119" s="1" t="n"/>
      <c r="H119" s="1" t="n"/>
      <c r="I119" s="1" t="n"/>
      <c r="J119" s="1" t="n"/>
    </row>
    <row r="120">
      <c r="A120" s="68">
        <f>+Agentes!A120</f>
        <v/>
      </c>
      <c r="B120" s="51">
        <f>VLOOKUP(C120,TABLAS!$A$3:$B$7,2)</f>
        <v/>
      </c>
      <c r="C120" s="54" t="n"/>
      <c r="D120" s="1">
        <f>VLOOKUP(E120,TABLAS!$A$22:$B$26,2)</f>
        <v/>
      </c>
      <c r="E120" s="54" t="n"/>
      <c r="F120" s="37">
        <f>+E120*C120</f>
        <v/>
      </c>
      <c r="G120" s="1" t="n"/>
      <c r="H120" s="1" t="n"/>
      <c r="I120" s="1" t="n"/>
      <c r="J120" s="1" t="n"/>
    </row>
    <row r="121">
      <c r="A121" s="68">
        <f>+Agentes!A121</f>
        <v/>
      </c>
      <c r="B121" s="51">
        <f>VLOOKUP(C121,TABLAS!$A$3:$B$7,2)</f>
        <v/>
      </c>
      <c r="C121" s="54" t="n"/>
      <c r="D121" s="1">
        <f>VLOOKUP(E121,TABLAS!$A$22:$B$26,2)</f>
        <v/>
      </c>
      <c r="E121" s="54" t="n"/>
      <c r="F121" s="37">
        <f>+E121*C121</f>
        <v/>
      </c>
      <c r="G121" s="1" t="n"/>
      <c r="H121" s="1" t="n"/>
      <c r="I121" s="1" t="n"/>
      <c r="J121" s="1" t="n"/>
    </row>
    <row r="122">
      <c r="A122" s="68">
        <f>+Agentes!A122</f>
        <v/>
      </c>
      <c r="B122" s="51">
        <f>VLOOKUP(C122,TABLAS!$A$3:$B$7,2)</f>
        <v/>
      </c>
      <c r="C122" s="54" t="n"/>
      <c r="D122" s="1">
        <f>VLOOKUP(E122,TABLAS!$A$22:$B$26,2)</f>
        <v/>
      </c>
      <c r="E122" s="54" t="n"/>
      <c r="F122" s="37">
        <f>+E122*C122</f>
        <v/>
      </c>
      <c r="G122" s="1" t="n"/>
      <c r="H122" s="1" t="n"/>
      <c r="I122" s="1" t="n"/>
      <c r="J122" s="1" t="n"/>
    </row>
    <row r="123">
      <c r="A123" s="68">
        <f>+Agentes!A123</f>
        <v/>
      </c>
      <c r="B123" s="51">
        <f>VLOOKUP(C123,TABLAS!$A$3:$B$7,2)</f>
        <v/>
      </c>
      <c r="C123" s="54" t="n"/>
      <c r="D123" s="1">
        <f>VLOOKUP(E123,TABLAS!$A$22:$B$26,2)</f>
        <v/>
      </c>
      <c r="E123" s="54" t="n"/>
      <c r="F123" s="37">
        <f>+E123*C123</f>
        <v/>
      </c>
      <c r="G123" s="1" t="n"/>
      <c r="H123" s="1" t="n"/>
      <c r="I123" s="1" t="n"/>
      <c r="J123" s="1" t="n"/>
    </row>
    <row r="124">
      <c r="A124" s="68">
        <f>+Agentes!A124</f>
        <v/>
      </c>
      <c r="B124" s="51">
        <f>VLOOKUP(C124,TABLAS!$A$3:$B$7,2)</f>
        <v/>
      </c>
      <c r="C124" s="54" t="n"/>
      <c r="D124" s="1">
        <f>VLOOKUP(E124,TABLAS!$A$22:$B$26,2)</f>
        <v/>
      </c>
      <c r="E124" s="54" t="n"/>
      <c r="F124" s="37">
        <f>+E124*C124</f>
        <v/>
      </c>
      <c r="G124" s="1" t="n"/>
      <c r="H124" s="1" t="n"/>
      <c r="I124" s="1" t="n"/>
      <c r="J124" s="1" t="n"/>
    </row>
    <row r="125">
      <c r="A125" s="68">
        <f>+Agentes!A125</f>
        <v/>
      </c>
      <c r="B125" s="51">
        <f>VLOOKUP(C125,TABLAS!$A$3:$B$7,2)</f>
        <v/>
      </c>
      <c r="C125" s="54" t="n"/>
      <c r="D125" s="1">
        <f>VLOOKUP(E125,TABLAS!$A$22:$B$26,2)</f>
        <v/>
      </c>
      <c r="E125" s="54" t="n"/>
      <c r="F125" s="37">
        <f>+E125*C125</f>
        <v/>
      </c>
      <c r="G125" s="1" t="n"/>
      <c r="H125" s="1" t="n"/>
      <c r="I125" s="1" t="n"/>
      <c r="J125" s="1" t="n"/>
    </row>
    <row r="126">
      <c r="A126" s="68">
        <f>+Agentes!A126</f>
        <v/>
      </c>
      <c r="B126" s="51">
        <f>VLOOKUP(C126,TABLAS!$A$3:$B$7,2)</f>
        <v/>
      </c>
      <c r="C126" s="54" t="n"/>
      <c r="D126" s="1">
        <f>VLOOKUP(E126,TABLAS!$A$22:$B$26,2)</f>
        <v/>
      </c>
      <c r="E126" s="54" t="n"/>
      <c r="F126" s="37">
        <f>+E126*C126</f>
        <v/>
      </c>
      <c r="G126" s="1" t="n"/>
      <c r="H126" s="1" t="n"/>
      <c r="I126" s="1" t="n"/>
      <c r="J126" s="1" t="n"/>
    </row>
    <row r="127">
      <c r="A127" s="68">
        <f>+Agentes!A127</f>
        <v/>
      </c>
      <c r="B127" s="51">
        <f>VLOOKUP(C127,TABLAS!$A$3:$B$7,2)</f>
        <v/>
      </c>
      <c r="C127" s="54" t="n"/>
      <c r="D127" s="1">
        <f>VLOOKUP(E127,TABLAS!$A$22:$B$26,2)</f>
        <v/>
      </c>
      <c r="E127" s="54" t="n"/>
      <c r="F127" s="37">
        <f>+E127*C127</f>
        <v/>
      </c>
      <c r="G127" s="1" t="n"/>
      <c r="H127" s="1" t="n"/>
      <c r="I127" s="1" t="n"/>
      <c r="J127" s="1" t="n"/>
    </row>
    <row r="128">
      <c r="A128" s="68">
        <f>+Agentes!A128</f>
        <v/>
      </c>
      <c r="B128" s="51">
        <f>VLOOKUP(C128,TABLAS!$A$3:$B$7,2)</f>
        <v/>
      </c>
      <c r="C128" s="54" t="n"/>
      <c r="D128" s="1">
        <f>VLOOKUP(E128,TABLAS!$A$22:$B$26,2)</f>
        <v/>
      </c>
      <c r="E128" s="54" t="n"/>
      <c r="F128" s="37">
        <f>+E128*C128</f>
        <v/>
      </c>
      <c r="G128" s="1" t="n"/>
      <c r="H128" s="1" t="n"/>
      <c r="I128" s="1" t="n"/>
      <c r="J128" s="1" t="n"/>
    </row>
    <row r="129">
      <c r="A129" s="68">
        <f>+Agentes!A129</f>
        <v/>
      </c>
      <c r="B129" s="51">
        <f>VLOOKUP(C129,TABLAS!$A$3:$B$7,2)</f>
        <v/>
      </c>
      <c r="C129" s="54" t="n"/>
      <c r="D129" s="1">
        <f>VLOOKUP(E129,TABLAS!$A$22:$B$26,2)</f>
        <v/>
      </c>
      <c r="E129" s="54" t="n"/>
      <c r="F129" s="37">
        <f>+E129*C129</f>
        <v/>
      </c>
      <c r="G129" s="1" t="n"/>
      <c r="H129" s="1" t="n"/>
      <c r="I129" s="1" t="n"/>
      <c r="J129" s="1" t="n"/>
    </row>
    <row r="130">
      <c r="A130" s="68">
        <f>+Agentes!A130</f>
        <v/>
      </c>
      <c r="B130" s="51">
        <f>VLOOKUP(C130,TABLAS!$A$3:$B$7,2)</f>
        <v/>
      </c>
      <c r="C130" s="54" t="n"/>
      <c r="D130" s="1">
        <f>VLOOKUP(E130,TABLAS!$A$22:$B$26,2)</f>
        <v/>
      </c>
      <c r="E130" s="54" t="n"/>
      <c r="F130" s="37">
        <f>+E130*C130</f>
        <v/>
      </c>
      <c r="G130" s="1" t="n"/>
      <c r="H130" s="1" t="n"/>
      <c r="I130" s="1" t="n"/>
      <c r="J130" s="1" t="n"/>
    </row>
    <row r="131">
      <c r="A131" s="68">
        <f>+Agentes!A131</f>
        <v/>
      </c>
      <c r="B131" s="51">
        <f>VLOOKUP(C131,TABLAS!$A$3:$B$7,2)</f>
        <v/>
      </c>
      <c r="C131" s="54" t="n"/>
      <c r="D131" s="1">
        <f>VLOOKUP(E131,TABLAS!$A$22:$B$26,2)</f>
        <v/>
      </c>
      <c r="E131" s="54" t="n"/>
      <c r="F131" s="37">
        <f>+E131*C131</f>
        <v/>
      </c>
      <c r="G131" s="1" t="n"/>
      <c r="H131" s="1" t="n"/>
      <c r="I131" s="1" t="n"/>
      <c r="J131" s="1" t="n"/>
    </row>
    <row r="132">
      <c r="A132" s="68">
        <f>+Agentes!A132</f>
        <v/>
      </c>
      <c r="B132" s="51">
        <f>VLOOKUP(C132,TABLAS!$A$3:$B$7,2)</f>
        <v/>
      </c>
      <c r="C132" s="54" t="n"/>
      <c r="D132" s="1">
        <f>VLOOKUP(E132,TABLAS!$A$22:$B$26,2)</f>
        <v/>
      </c>
      <c r="E132" s="54" t="n"/>
      <c r="F132" s="37">
        <f>+E132*C132</f>
        <v/>
      </c>
      <c r="G132" s="1" t="n"/>
      <c r="H132" s="1" t="n"/>
      <c r="I132" s="1" t="n"/>
      <c r="J132" s="1" t="n"/>
    </row>
    <row r="133">
      <c r="A133" s="68">
        <f>+Agentes!A133</f>
        <v/>
      </c>
      <c r="B133" s="51">
        <f>VLOOKUP(C133,TABLAS!$A$3:$B$7,2)</f>
        <v/>
      </c>
      <c r="C133" s="54" t="n"/>
      <c r="D133" s="1">
        <f>VLOOKUP(E133,TABLAS!$A$22:$B$26,2)</f>
        <v/>
      </c>
      <c r="E133" s="54" t="n"/>
      <c r="F133" s="37">
        <f>+E133*C133</f>
        <v/>
      </c>
      <c r="G133" s="1" t="n"/>
      <c r="H133" s="1" t="n"/>
      <c r="I133" s="1" t="n"/>
      <c r="J133" s="1" t="n"/>
    </row>
    <row r="134">
      <c r="A134" s="68">
        <f>+Agentes!A134</f>
        <v/>
      </c>
      <c r="B134" s="51">
        <f>VLOOKUP(C134,TABLAS!$A$3:$B$7,2)</f>
        <v/>
      </c>
      <c r="C134" s="54" t="n"/>
      <c r="D134" s="1">
        <f>VLOOKUP(E134,TABLAS!$A$22:$B$26,2)</f>
        <v/>
      </c>
      <c r="E134" s="54" t="n"/>
      <c r="F134" s="37">
        <f>+E134*C134</f>
        <v/>
      </c>
      <c r="G134" s="1" t="n"/>
      <c r="H134" s="1" t="n"/>
      <c r="I134" s="1" t="n"/>
      <c r="J134" s="1" t="n"/>
    </row>
    <row r="135">
      <c r="A135" s="68">
        <f>+Agentes!A135</f>
        <v/>
      </c>
      <c r="B135" s="51">
        <f>VLOOKUP(C135,TABLAS!$A$3:$B$7,2)</f>
        <v/>
      </c>
      <c r="C135" s="54" t="n"/>
      <c r="D135" s="1">
        <f>VLOOKUP(E135,TABLAS!$A$22:$B$26,2)</f>
        <v/>
      </c>
      <c r="E135" s="54" t="n"/>
      <c r="F135" s="37">
        <f>+E135*C135</f>
        <v/>
      </c>
      <c r="G135" s="1" t="n"/>
      <c r="H135" s="1" t="n"/>
      <c r="I135" s="1" t="n"/>
      <c r="J135" s="1" t="n"/>
    </row>
    <row r="136">
      <c r="A136" s="68">
        <f>+Agentes!A136</f>
        <v/>
      </c>
      <c r="B136" s="51">
        <f>VLOOKUP(C136,TABLAS!$A$3:$B$7,2)</f>
        <v/>
      </c>
      <c r="C136" s="54" t="n"/>
      <c r="D136" s="1">
        <f>VLOOKUP(E136,TABLAS!$A$22:$B$26,2)</f>
        <v/>
      </c>
      <c r="E136" s="54" t="n"/>
      <c r="F136" s="37">
        <f>+E136*C136</f>
        <v/>
      </c>
      <c r="G136" s="1" t="n"/>
      <c r="H136" s="1" t="n"/>
      <c r="I136" s="1" t="n"/>
      <c r="J136" s="1" t="n"/>
    </row>
    <row r="137">
      <c r="A137" s="68">
        <f>+Agentes!A137</f>
        <v/>
      </c>
      <c r="B137" s="51">
        <f>VLOOKUP(C137,TABLAS!$A$3:$B$7,2)</f>
        <v/>
      </c>
      <c r="C137" s="54" t="n"/>
      <c r="D137" s="1">
        <f>VLOOKUP(E137,TABLAS!$A$22:$B$26,2)</f>
        <v/>
      </c>
      <c r="E137" s="54" t="n"/>
      <c r="F137" s="37">
        <f>+E137*C137</f>
        <v/>
      </c>
      <c r="G137" s="1" t="n"/>
      <c r="H137" s="1" t="n"/>
      <c r="I137" s="1" t="n"/>
      <c r="J137" s="1" t="n"/>
    </row>
    <row r="138">
      <c r="A138" s="68">
        <f>+Agentes!A138</f>
        <v/>
      </c>
      <c r="B138" s="51">
        <f>VLOOKUP(C138,TABLAS!$A$3:$B$7,2)</f>
        <v/>
      </c>
      <c r="C138" s="54" t="n"/>
      <c r="D138" s="1">
        <f>VLOOKUP(E138,TABLAS!$A$22:$B$26,2)</f>
        <v/>
      </c>
      <c r="E138" s="54" t="n"/>
      <c r="F138" s="37">
        <f>+E138*C138</f>
        <v/>
      </c>
      <c r="G138" s="1" t="n"/>
      <c r="H138" s="1" t="n"/>
      <c r="I138" s="1" t="n"/>
      <c r="J138" s="1" t="n"/>
    </row>
    <row r="139">
      <c r="A139" s="68">
        <f>+Agentes!A139</f>
        <v/>
      </c>
      <c r="B139" s="51">
        <f>VLOOKUP(C139,TABLAS!$A$3:$B$7,2)</f>
        <v/>
      </c>
      <c r="C139" s="54" t="n"/>
      <c r="D139" s="1">
        <f>VLOOKUP(E139,TABLAS!$A$22:$B$26,2)</f>
        <v/>
      </c>
      <c r="E139" s="54" t="n"/>
      <c r="F139" s="37">
        <f>+E139*C139</f>
        <v/>
      </c>
      <c r="G139" s="1" t="n"/>
      <c r="H139" s="1" t="n"/>
      <c r="I139" s="1" t="n"/>
      <c r="J139" s="1" t="n"/>
    </row>
    <row r="140">
      <c r="A140" s="68">
        <f>+Agentes!A140</f>
        <v/>
      </c>
      <c r="B140" s="51">
        <f>VLOOKUP(C140,TABLAS!$A$3:$B$7,2)</f>
        <v/>
      </c>
      <c r="C140" s="54" t="n"/>
      <c r="D140" s="1">
        <f>VLOOKUP(E140,TABLAS!$A$22:$B$26,2)</f>
        <v/>
      </c>
      <c r="E140" s="54" t="n"/>
      <c r="F140" s="37">
        <f>+E140*C140</f>
        <v/>
      </c>
      <c r="G140" s="1" t="n"/>
      <c r="H140" s="1" t="n"/>
      <c r="I140" s="1" t="n"/>
      <c r="J140" s="1" t="n"/>
    </row>
    <row r="141">
      <c r="A141" s="68">
        <f>+Agentes!A141</f>
        <v/>
      </c>
      <c r="B141" s="51">
        <f>VLOOKUP(C141,TABLAS!$A$3:$B$7,2)</f>
        <v/>
      </c>
      <c r="C141" s="54" t="n"/>
      <c r="D141" s="1">
        <f>VLOOKUP(E141,TABLAS!$A$22:$B$26,2)</f>
        <v/>
      </c>
      <c r="E141" s="54" t="n"/>
      <c r="F141" s="37">
        <f>+E141*C141</f>
        <v/>
      </c>
      <c r="G141" s="1" t="n"/>
      <c r="H141" s="1" t="n"/>
      <c r="I141" s="1" t="n"/>
      <c r="J141" s="1" t="n"/>
    </row>
    <row r="142">
      <c r="A142" s="68">
        <f>+Agentes!A142</f>
        <v/>
      </c>
      <c r="B142" s="51">
        <f>VLOOKUP(C142,TABLAS!$A$3:$B$7,2)</f>
        <v/>
      </c>
      <c r="C142" s="54" t="n"/>
      <c r="D142" s="1">
        <f>VLOOKUP(E142,TABLAS!$A$22:$B$26,2)</f>
        <v/>
      </c>
      <c r="E142" s="54" t="n"/>
      <c r="F142" s="37">
        <f>+E142*C142</f>
        <v/>
      </c>
      <c r="G142" s="1" t="n"/>
      <c r="H142" s="1" t="n"/>
      <c r="I142" s="1" t="n"/>
      <c r="J142" s="1" t="n"/>
    </row>
    <row r="143">
      <c r="A143" s="68">
        <f>+Agentes!A143</f>
        <v/>
      </c>
      <c r="B143" s="51">
        <f>VLOOKUP(C143,TABLAS!$A$3:$B$7,2)</f>
        <v/>
      </c>
      <c r="C143" s="54" t="n"/>
      <c r="D143" s="1">
        <f>VLOOKUP(E143,TABLAS!$A$22:$B$26,2)</f>
        <v/>
      </c>
      <c r="E143" s="54" t="n"/>
      <c r="F143" s="37">
        <f>+E143*C143</f>
        <v/>
      </c>
      <c r="G143" s="1" t="n"/>
      <c r="H143" s="1" t="n"/>
      <c r="I143" s="1" t="n"/>
      <c r="J143" s="1" t="n"/>
    </row>
    <row r="144">
      <c r="A144" s="68">
        <f>+Agentes!A144</f>
        <v/>
      </c>
      <c r="B144" s="51">
        <f>VLOOKUP(C144,TABLAS!$A$3:$B$7,2)</f>
        <v/>
      </c>
      <c r="C144" s="54" t="n"/>
      <c r="D144" s="1">
        <f>VLOOKUP(E144,TABLAS!$A$22:$B$26,2)</f>
        <v/>
      </c>
      <c r="E144" s="54" t="n"/>
      <c r="F144" s="37">
        <f>+E144*C144</f>
        <v/>
      </c>
      <c r="G144" s="1" t="n"/>
      <c r="H144" s="1" t="n"/>
      <c r="I144" s="1" t="n"/>
      <c r="J144" s="1" t="n"/>
    </row>
    <row r="145">
      <c r="A145" s="68">
        <f>+Agentes!A145</f>
        <v/>
      </c>
      <c r="B145" s="51">
        <f>VLOOKUP(C145,TABLAS!$A$3:$B$7,2)</f>
        <v/>
      </c>
      <c r="C145" s="54" t="n"/>
      <c r="D145" s="1">
        <f>VLOOKUP(E145,TABLAS!$A$22:$B$26,2)</f>
        <v/>
      </c>
      <c r="E145" s="54" t="n"/>
      <c r="F145" s="37">
        <f>+E145*C145</f>
        <v/>
      </c>
      <c r="G145" s="1" t="n"/>
      <c r="H145" s="1" t="n"/>
      <c r="I145" s="1" t="n"/>
      <c r="J145" s="1" t="n"/>
    </row>
    <row r="146">
      <c r="A146" s="68">
        <f>+Agentes!A146</f>
        <v/>
      </c>
      <c r="B146" s="51">
        <f>VLOOKUP(C146,TABLAS!$A$3:$B$7,2)</f>
        <v/>
      </c>
      <c r="C146" s="54" t="n"/>
      <c r="D146" s="1">
        <f>VLOOKUP(E146,TABLAS!$A$22:$B$26,2)</f>
        <v/>
      </c>
      <c r="E146" s="54" t="n"/>
      <c r="F146" s="37">
        <f>+E146*C146</f>
        <v/>
      </c>
      <c r="G146" s="1" t="n"/>
      <c r="H146" s="1" t="n"/>
      <c r="I146" s="1" t="n"/>
      <c r="J146" s="1" t="n"/>
    </row>
    <row r="147">
      <c r="A147" s="68">
        <f>+Agentes!A147</f>
        <v/>
      </c>
      <c r="B147" s="51">
        <f>VLOOKUP(C147,TABLAS!$A$3:$B$7,2)</f>
        <v/>
      </c>
      <c r="C147" s="54" t="n"/>
      <c r="D147" s="1">
        <f>VLOOKUP(E147,TABLAS!$A$22:$B$26,2)</f>
        <v/>
      </c>
      <c r="E147" s="54" t="n"/>
      <c r="F147" s="37">
        <f>+E147*C147</f>
        <v/>
      </c>
      <c r="G147" s="1" t="n"/>
      <c r="H147" s="1" t="n"/>
      <c r="I147" s="1" t="n"/>
      <c r="J147" s="1" t="n"/>
    </row>
    <row r="148">
      <c r="A148" s="68">
        <f>+Agentes!A148</f>
        <v/>
      </c>
      <c r="B148" s="51">
        <f>VLOOKUP(C148,TABLAS!$A$3:$B$7,2)</f>
        <v/>
      </c>
      <c r="C148" s="54" t="n"/>
      <c r="D148" s="1">
        <f>VLOOKUP(E148,TABLAS!$A$22:$B$26,2)</f>
        <v/>
      </c>
      <c r="E148" s="54" t="n"/>
      <c r="F148" s="37">
        <f>+E148*C148</f>
        <v/>
      </c>
      <c r="G148" s="1" t="n"/>
      <c r="H148" s="1" t="n"/>
      <c r="I148" s="1" t="n"/>
      <c r="J148" s="1" t="n"/>
    </row>
    <row r="149">
      <c r="A149" s="68">
        <f>+Agentes!A149</f>
        <v/>
      </c>
      <c r="B149" s="51">
        <f>VLOOKUP(C149,TABLAS!$A$3:$B$7,2)</f>
        <v/>
      </c>
      <c r="C149" s="54" t="n"/>
      <c r="D149" s="1">
        <f>VLOOKUP(E149,TABLAS!$A$22:$B$26,2)</f>
        <v/>
      </c>
      <c r="E149" s="54" t="n"/>
      <c r="F149" s="37">
        <f>+E149*C149</f>
        <v/>
      </c>
      <c r="G149" s="1" t="n"/>
      <c r="H149" s="1" t="n"/>
      <c r="I149" s="1" t="n"/>
      <c r="J149" s="1" t="n"/>
    </row>
    <row r="150">
      <c r="A150" s="68">
        <f>+Agentes!A150</f>
        <v/>
      </c>
      <c r="B150" s="51">
        <f>VLOOKUP(C150,TABLAS!$A$3:$B$7,2)</f>
        <v/>
      </c>
      <c r="C150" s="54" t="n"/>
      <c r="D150" s="1">
        <f>VLOOKUP(E150,TABLAS!$A$22:$B$26,2)</f>
        <v/>
      </c>
      <c r="E150" s="54" t="n"/>
      <c r="F150" s="37">
        <f>+E150*C150</f>
        <v/>
      </c>
      <c r="G150" s="1" t="n"/>
      <c r="H150" s="1" t="n"/>
      <c r="I150" s="1" t="n"/>
      <c r="J150" s="1" t="n"/>
    </row>
    <row r="151">
      <c r="A151" s="68">
        <f>+Agentes!A151</f>
        <v/>
      </c>
      <c r="B151" s="51">
        <f>VLOOKUP(C151,TABLAS!$A$3:$B$7,2)</f>
        <v/>
      </c>
      <c r="C151" s="54" t="n"/>
      <c r="D151" s="1">
        <f>VLOOKUP(E151,TABLAS!$A$22:$B$26,2)</f>
        <v/>
      </c>
      <c r="E151" s="54" t="n"/>
      <c r="F151" s="37">
        <f>+E151*C151</f>
        <v/>
      </c>
      <c r="G151" s="1" t="n"/>
      <c r="H151" s="1" t="n"/>
      <c r="I151" s="1" t="n"/>
      <c r="J151" s="1" t="n"/>
    </row>
    <row r="152">
      <c r="A152" s="68">
        <f>+Agentes!A152</f>
        <v/>
      </c>
      <c r="B152" s="51">
        <f>VLOOKUP(C152,TABLAS!$A$3:$B$7,2)</f>
        <v/>
      </c>
      <c r="C152" s="54" t="n"/>
      <c r="D152" s="1">
        <f>VLOOKUP(E152,TABLAS!$A$22:$B$26,2)</f>
        <v/>
      </c>
      <c r="E152" s="54" t="n"/>
      <c r="F152" s="37">
        <f>+E152*C152</f>
        <v/>
      </c>
      <c r="G152" s="1" t="n"/>
      <c r="H152" s="1" t="n"/>
      <c r="I152" s="1" t="n"/>
      <c r="J152" s="1" t="n"/>
    </row>
    <row r="153">
      <c r="A153" s="68">
        <f>+Agentes!A153</f>
        <v/>
      </c>
      <c r="B153" s="51">
        <f>VLOOKUP(C153,TABLAS!$A$3:$B$7,2)</f>
        <v/>
      </c>
      <c r="C153" s="54" t="n"/>
      <c r="D153" s="1">
        <f>VLOOKUP(E153,TABLAS!$A$22:$B$26,2)</f>
        <v/>
      </c>
      <c r="E153" s="54" t="n"/>
      <c r="F153" s="37">
        <f>+E153*C153</f>
        <v/>
      </c>
      <c r="G153" s="1" t="n"/>
      <c r="H153" s="1" t="n"/>
      <c r="I153" s="1" t="n"/>
      <c r="J153" s="1" t="n"/>
    </row>
    <row r="154">
      <c r="A154" s="68">
        <f>+Agentes!A154</f>
        <v/>
      </c>
      <c r="B154" s="51">
        <f>VLOOKUP(C154,TABLAS!$A$3:$B$7,2)</f>
        <v/>
      </c>
      <c r="C154" s="54" t="n"/>
      <c r="D154" s="1">
        <f>VLOOKUP(E154,TABLAS!$A$22:$B$26,2)</f>
        <v/>
      </c>
      <c r="E154" s="54" t="n"/>
      <c r="F154" s="37">
        <f>+E154*C154</f>
        <v/>
      </c>
      <c r="G154" s="1" t="n"/>
      <c r="H154" s="1" t="n"/>
      <c r="I154" s="1" t="n"/>
      <c r="J154" s="1" t="n"/>
    </row>
    <row r="155">
      <c r="A155" s="68">
        <f>+Agentes!A155</f>
        <v/>
      </c>
      <c r="B155" s="51">
        <f>VLOOKUP(C155,TABLAS!$A$3:$B$7,2)</f>
        <v/>
      </c>
      <c r="C155" s="54" t="n"/>
      <c r="D155" s="1">
        <f>VLOOKUP(E155,TABLAS!$A$22:$B$26,2)</f>
        <v/>
      </c>
      <c r="E155" s="54" t="n"/>
      <c r="F155" s="37">
        <f>+E155*C155</f>
        <v/>
      </c>
      <c r="G155" s="1" t="n"/>
      <c r="H155" s="1" t="n"/>
      <c r="I155" s="1" t="n"/>
      <c r="J155" s="1" t="n"/>
    </row>
    <row r="156">
      <c r="A156" s="68">
        <f>+Agentes!A156</f>
        <v/>
      </c>
      <c r="B156" s="51">
        <f>VLOOKUP(C156,TABLAS!$A$3:$B$7,2)</f>
        <v/>
      </c>
      <c r="C156" s="54" t="n"/>
      <c r="D156" s="1">
        <f>VLOOKUP(E156,TABLAS!$A$22:$B$26,2)</f>
        <v/>
      </c>
      <c r="E156" s="54" t="n"/>
      <c r="F156" s="37">
        <f>+E156*C156</f>
        <v/>
      </c>
      <c r="G156" s="1" t="n"/>
      <c r="H156" s="1" t="n"/>
      <c r="I156" s="1" t="n"/>
      <c r="J156" s="1" t="n"/>
    </row>
    <row r="157">
      <c r="A157" s="68">
        <f>+Agentes!A157</f>
        <v/>
      </c>
      <c r="B157" s="51">
        <f>VLOOKUP(C157,TABLAS!$A$3:$B$7,2)</f>
        <v/>
      </c>
      <c r="C157" s="54" t="n"/>
      <c r="D157" s="1">
        <f>VLOOKUP(E157,TABLAS!$A$22:$B$26,2)</f>
        <v/>
      </c>
      <c r="E157" s="54" t="n"/>
      <c r="F157" s="37">
        <f>+E157*C157</f>
        <v/>
      </c>
      <c r="G157" s="1" t="n"/>
      <c r="H157" s="1" t="n"/>
      <c r="I157" s="1" t="n"/>
      <c r="J157" s="1" t="n"/>
    </row>
    <row r="158">
      <c r="A158" s="68">
        <f>+Agentes!A158</f>
        <v/>
      </c>
      <c r="B158" s="51">
        <f>VLOOKUP(C158,TABLAS!$A$3:$B$7,2)</f>
        <v/>
      </c>
      <c r="C158" s="54" t="n"/>
      <c r="D158" s="1">
        <f>VLOOKUP(E158,TABLAS!$A$22:$B$26,2)</f>
        <v/>
      </c>
      <c r="E158" s="54" t="n"/>
      <c r="F158" s="37">
        <f>+E158*C158</f>
        <v/>
      </c>
      <c r="G158" s="1" t="n"/>
      <c r="H158" s="1" t="n"/>
      <c r="I158" s="1" t="n"/>
      <c r="J158" s="1" t="n"/>
    </row>
    <row r="159">
      <c r="A159" s="68">
        <f>+Agentes!A159</f>
        <v/>
      </c>
      <c r="B159" s="51">
        <f>VLOOKUP(C159,TABLAS!$A$3:$B$7,2)</f>
        <v/>
      </c>
      <c r="C159" s="54" t="n"/>
      <c r="D159" s="1">
        <f>VLOOKUP(E159,TABLAS!$A$22:$B$26,2)</f>
        <v/>
      </c>
      <c r="E159" s="54" t="n"/>
      <c r="F159" s="37">
        <f>+E159*C159</f>
        <v/>
      </c>
      <c r="G159" s="1" t="n"/>
      <c r="H159" s="1" t="n"/>
      <c r="I159" s="1" t="n"/>
      <c r="J159" s="1" t="n"/>
    </row>
    <row r="160">
      <c r="A160" s="68">
        <f>+Agentes!A160</f>
        <v/>
      </c>
      <c r="B160" s="51">
        <f>VLOOKUP(C160,TABLAS!$A$3:$B$7,2)</f>
        <v/>
      </c>
      <c r="C160" s="54" t="n"/>
      <c r="D160" s="1">
        <f>VLOOKUP(E160,TABLAS!$A$22:$B$26,2)</f>
        <v/>
      </c>
      <c r="E160" s="54" t="n"/>
      <c r="F160" s="37">
        <f>+E160*C160</f>
        <v/>
      </c>
      <c r="G160" s="1" t="n"/>
      <c r="H160" s="1" t="n"/>
      <c r="I160" s="1" t="n"/>
      <c r="J160" s="1" t="n"/>
    </row>
    <row r="161">
      <c r="A161" s="68">
        <f>+Agentes!A161</f>
        <v/>
      </c>
      <c r="B161" s="51">
        <f>VLOOKUP(C161,TABLAS!$A$3:$B$7,2)</f>
        <v/>
      </c>
      <c r="C161" s="54" t="n"/>
      <c r="D161" s="1">
        <f>VLOOKUP(E161,TABLAS!$A$22:$B$26,2)</f>
        <v/>
      </c>
      <c r="E161" s="54" t="n"/>
      <c r="F161" s="37">
        <f>+E161*C161</f>
        <v/>
      </c>
      <c r="G161" s="1" t="n"/>
      <c r="H161" s="1" t="n"/>
      <c r="I161" s="1" t="n"/>
      <c r="J161" s="1" t="n"/>
    </row>
    <row r="162">
      <c r="A162" s="68">
        <f>+Agentes!A162</f>
        <v/>
      </c>
      <c r="B162" s="51">
        <f>VLOOKUP(C162,TABLAS!$A$3:$B$7,2)</f>
        <v/>
      </c>
      <c r="C162" s="54" t="n"/>
      <c r="D162" s="1">
        <f>VLOOKUP(E162,TABLAS!$A$22:$B$26,2)</f>
        <v/>
      </c>
      <c r="E162" s="54" t="n"/>
      <c r="F162" s="37">
        <f>+E162*C162</f>
        <v/>
      </c>
      <c r="G162" s="1" t="n"/>
      <c r="H162" s="1" t="n"/>
      <c r="I162" s="1" t="n"/>
      <c r="J162" s="1" t="n"/>
    </row>
    <row r="163">
      <c r="A163" s="68">
        <f>+Agentes!A163</f>
        <v/>
      </c>
      <c r="B163" s="51">
        <f>VLOOKUP(C163,TABLAS!$A$3:$B$7,2)</f>
        <v/>
      </c>
      <c r="C163" s="54" t="n"/>
      <c r="D163" s="1">
        <f>VLOOKUP(E163,TABLAS!$A$22:$B$26,2)</f>
        <v/>
      </c>
      <c r="E163" s="54" t="n"/>
      <c r="F163" s="37">
        <f>+E163*C163</f>
        <v/>
      </c>
      <c r="G163" s="1" t="n"/>
      <c r="H163" s="1" t="n"/>
      <c r="I163" s="1" t="n"/>
      <c r="J163" s="1" t="n"/>
    </row>
    <row r="164">
      <c r="A164" s="68">
        <f>+Agentes!A164</f>
        <v/>
      </c>
      <c r="B164" s="51">
        <f>VLOOKUP(C164,TABLAS!$A$3:$B$7,2)</f>
        <v/>
      </c>
      <c r="C164" s="54" t="n"/>
      <c r="D164" s="1">
        <f>VLOOKUP(E164,TABLAS!$A$22:$B$26,2)</f>
        <v/>
      </c>
      <c r="E164" s="54" t="n"/>
      <c r="F164" s="37">
        <f>+E164*C164</f>
        <v/>
      </c>
      <c r="G164" s="1" t="n"/>
      <c r="H164" s="1" t="n"/>
      <c r="I164" s="1" t="n"/>
      <c r="J164" s="1" t="n"/>
    </row>
    <row r="165">
      <c r="A165" s="68">
        <f>+Agentes!A165</f>
        <v/>
      </c>
      <c r="B165" s="51">
        <f>VLOOKUP(C165,TABLAS!$A$3:$B$7,2)</f>
        <v/>
      </c>
      <c r="C165" s="54" t="n"/>
      <c r="D165" s="1">
        <f>VLOOKUP(E165,TABLAS!$A$22:$B$26,2)</f>
        <v/>
      </c>
      <c r="E165" s="54" t="n"/>
      <c r="F165" s="37">
        <f>+E165*C165</f>
        <v/>
      </c>
      <c r="G165" s="1" t="n"/>
      <c r="H165" s="1" t="n"/>
      <c r="I165" s="1" t="n"/>
      <c r="J165" s="1" t="n"/>
    </row>
    <row r="166">
      <c r="A166" s="68">
        <f>+Agentes!A166</f>
        <v/>
      </c>
      <c r="B166" s="51">
        <f>VLOOKUP(C166,TABLAS!$A$3:$B$7,2)</f>
        <v/>
      </c>
      <c r="C166" s="54" t="n"/>
      <c r="D166" s="1">
        <f>VLOOKUP(E166,TABLAS!$A$22:$B$26,2)</f>
        <v/>
      </c>
      <c r="E166" s="54" t="n"/>
      <c r="F166" s="37">
        <f>+E166*C166</f>
        <v/>
      </c>
      <c r="G166" s="1" t="n"/>
      <c r="H166" s="1" t="n"/>
      <c r="I166" s="1" t="n"/>
      <c r="J166" s="1" t="n"/>
    </row>
    <row r="167">
      <c r="A167" s="68">
        <f>+Agentes!A167</f>
        <v/>
      </c>
      <c r="B167" s="51">
        <f>VLOOKUP(C167,TABLAS!$A$3:$B$7,2)</f>
        <v/>
      </c>
      <c r="C167" s="54" t="n"/>
      <c r="D167" s="1">
        <f>VLOOKUP(E167,TABLAS!$A$22:$B$26,2)</f>
        <v/>
      </c>
      <c r="E167" s="54" t="n"/>
      <c r="F167" s="37">
        <f>+E167*C167</f>
        <v/>
      </c>
      <c r="G167" s="1" t="n"/>
      <c r="H167" s="1" t="n"/>
      <c r="I167" s="1" t="n"/>
      <c r="J167" s="1" t="n"/>
    </row>
    <row r="168">
      <c r="A168" s="68">
        <f>+Agentes!A168</f>
        <v/>
      </c>
      <c r="B168" s="51">
        <f>VLOOKUP(C168,TABLAS!$A$3:$B$7,2)</f>
        <v/>
      </c>
      <c r="C168" s="54" t="n"/>
      <c r="D168" s="1">
        <f>VLOOKUP(E168,TABLAS!$A$22:$B$26,2)</f>
        <v/>
      </c>
      <c r="E168" s="54" t="n"/>
      <c r="F168" s="37">
        <f>+E168*C168</f>
        <v/>
      </c>
      <c r="G168" s="1" t="n"/>
      <c r="H168" s="1" t="n"/>
      <c r="I168" s="1" t="n"/>
      <c r="J168" s="1" t="n"/>
    </row>
    <row r="169">
      <c r="A169" s="68">
        <f>+Agentes!A169</f>
        <v/>
      </c>
      <c r="B169" s="51">
        <f>VLOOKUP(C169,TABLAS!$A$3:$B$7,2)</f>
        <v/>
      </c>
      <c r="C169" s="54" t="n"/>
      <c r="D169" s="1">
        <f>VLOOKUP(E169,TABLAS!$A$22:$B$26,2)</f>
        <v/>
      </c>
      <c r="E169" s="54" t="n"/>
      <c r="F169" s="37">
        <f>+E169*C169</f>
        <v/>
      </c>
      <c r="G169" s="1" t="n"/>
      <c r="H169" s="1" t="n"/>
      <c r="I169" s="1" t="n"/>
      <c r="J169" s="1" t="n"/>
    </row>
    <row r="170">
      <c r="A170" s="68">
        <f>+Agentes!A170</f>
        <v/>
      </c>
      <c r="B170" s="51">
        <f>VLOOKUP(C170,TABLAS!$A$3:$B$7,2)</f>
        <v/>
      </c>
      <c r="C170" s="54" t="n"/>
      <c r="D170" s="1">
        <f>VLOOKUP(E170,TABLAS!$A$22:$B$26,2)</f>
        <v/>
      </c>
      <c r="E170" s="54" t="n"/>
      <c r="F170" s="37">
        <f>+E170*C170</f>
        <v/>
      </c>
      <c r="G170" s="1" t="n"/>
      <c r="H170" s="1" t="n"/>
      <c r="I170" s="1" t="n"/>
      <c r="J170" s="1" t="n"/>
    </row>
    <row r="171">
      <c r="A171" s="68">
        <f>+Agentes!A171</f>
        <v/>
      </c>
      <c r="B171" s="51">
        <f>VLOOKUP(C171,TABLAS!$A$3:$B$7,2)</f>
        <v/>
      </c>
      <c r="C171" s="54" t="n"/>
      <c r="D171" s="1">
        <f>VLOOKUP(E171,TABLAS!$A$22:$B$26,2)</f>
        <v/>
      </c>
      <c r="E171" s="54" t="n"/>
      <c r="F171" s="37">
        <f>+E171*C171</f>
        <v/>
      </c>
      <c r="G171" s="1" t="n"/>
      <c r="H171" s="1" t="n"/>
      <c r="I171" s="1" t="n"/>
      <c r="J171" s="1" t="n"/>
    </row>
    <row r="172">
      <c r="A172" s="68">
        <f>+Agentes!A172</f>
        <v/>
      </c>
      <c r="B172" s="51">
        <f>VLOOKUP(C172,TABLAS!$A$3:$B$7,2)</f>
        <v/>
      </c>
      <c r="C172" s="54" t="n"/>
      <c r="D172" s="1">
        <f>VLOOKUP(E172,TABLAS!$A$22:$B$26,2)</f>
        <v/>
      </c>
      <c r="E172" s="54" t="n"/>
      <c r="F172" s="37">
        <f>+E172*C172</f>
        <v/>
      </c>
      <c r="G172" s="1" t="n"/>
      <c r="H172" s="1" t="n"/>
      <c r="I172" s="1" t="n"/>
      <c r="J172" s="1" t="n"/>
    </row>
    <row r="173">
      <c r="A173" s="68">
        <f>+Agentes!A173</f>
        <v/>
      </c>
      <c r="B173" s="51">
        <f>VLOOKUP(C173,TABLAS!$A$3:$B$7,2)</f>
        <v/>
      </c>
      <c r="C173" s="54" t="n"/>
      <c r="D173" s="1">
        <f>VLOOKUP(E173,TABLAS!$A$22:$B$26,2)</f>
        <v/>
      </c>
      <c r="E173" s="54" t="n"/>
      <c r="F173" s="37">
        <f>+E173*C173</f>
        <v/>
      </c>
      <c r="G173" s="1" t="n"/>
      <c r="H173" s="1" t="n"/>
      <c r="I173" s="1" t="n"/>
      <c r="J173" s="1" t="n"/>
    </row>
    <row r="174">
      <c r="A174" s="68">
        <f>+Agentes!A174</f>
        <v/>
      </c>
      <c r="B174" s="51">
        <f>VLOOKUP(C174,TABLAS!$A$3:$B$7,2)</f>
        <v/>
      </c>
      <c r="C174" s="54" t="n"/>
      <c r="D174" s="1">
        <f>VLOOKUP(E174,TABLAS!$A$22:$B$26,2)</f>
        <v/>
      </c>
      <c r="E174" s="54" t="n"/>
      <c r="F174" s="37">
        <f>+E174*C174</f>
        <v/>
      </c>
      <c r="G174" s="1" t="n"/>
      <c r="H174" s="1" t="n"/>
      <c r="I174" s="1" t="n"/>
      <c r="J174" s="1" t="n"/>
    </row>
    <row r="175">
      <c r="A175" s="68">
        <f>+Agentes!A175</f>
        <v/>
      </c>
      <c r="B175" s="51">
        <f>VLOOKUP(C175,TABLAS!$A$3:$B$7,2)</f>
        <v/>
      </c>
      <c r="C175" s="54" t="n"/>
      <c r="D175" s="1">
        <f>VLOOKUP(E175,TABLAS!$A$22:$B$26,2)</f>
        <v/>
      </c>
      <c r="E175" s="54" t="n"/>
      <c r="F175" s="37">
        <f>+E175*C175</f>
        <v/>
      </c>
      <c r="G175" s="1" t="n"/>
      <c r="H175" s="1" t="n"/>
      <c r="I175" s="1" t="n"/>
      <c r="J175" s="1" t="n"/>
    </row>
    <row r="176">
      <c r="A176" s="68">
        <f>+Agentes!A176</f>
        <v/>
      </c>
      <c r="B176" s="51">
        <f>VLOOKUP(C176,TABLAS!$A$3:$B$7,2)</f>
        <v/>
      </c>
      <c r="C176" s="54" t="n"/>
      <c r="D176" s="1">
        <f>VLOOKUP(E176,TABLAS!$A$22:$B$26,2)</f>
        <v/>
      </c>
      <c r="E176" s="54" t="n"/>
      <c r="F176" s="37">
        <f>+E176*C176</f>
        <v/>
      </c>
      <c r="G176" s="1" t="n"/>
      <c r="H176" s="1" t="n"/>
      <c r="I176" s="1" t="n"/>
      <c r="J176" s="1" t="n"/>
    </row>
    <row r="177">
      <c r="A177" s="68">
        <f>+Agentes!A177</f>
        <v/>
      </c>
      <c r="B177" s="51">
        <f>VLOOKUP(C177,TABLAS!$A$3:$B$7,2)</f>
        <v/>
      </c>
      <c r="C177" s="54" t="n"/>
      <c r="D177" s="1">
        <f>VLOOKUP(E177,TABLAS!$A$22:$B$26,2)</f>
        <v/>
      </c>
      <c r="E177" s="54" t="n"/>
      <c r="F177" s="37">
        <f>+E177*C177</f>
        <v/>
      </c>
      <c r="G177" s="1" t="n"/>
      <c r="H177" s="1" t="n"/>
      <c r="I177" s="1" t="n"/>
      <c r="J177" s="1" t="n"/>
    </row>
    <row r="178">
      <c r="A178" s="68">
        <f>+Agentes!A178</f>
        <v/>
      </c>
      <c r="B178" s="51">
        <f>VLOOKUP(C178,TABLAS!$A$3:$B$7,2)</f>
        <v/>
      </c>
      <c r="C178" s="54" t="n"/>
      <c r="D178" s="1">
        <f>VLOOKUP(E178,TABLAS!$A$22:$B$26,2)</f>
        <v/>
      </c>
      <c r="E178" s="54" t="n"/>
      <c r="F178" s="37">
        <f>+E178*C178</f>
        <v/>
      </c>
      <c r="G178" s="1" t="n"/>
      <c r="H178" s="1" t="n"/>
      <c r="I178" s="1" t="n"/>
      <c r="J178" s="1" t="n"/>
    </row>
    <row r="179">
      <c r="A179" s="68">
        <f>+Agentes!A179</f>
        <v/>
      </c>
      <c r="B179" s="51">
        <f>VLOOKUP(C179,TABLAS!$A$3:$B$7,2)</f>
        <v/>
      </c>
      <c r="C179" s="54" t="n"/>
      <c r="D179" s="1">
        <f>VLOOKUP(E179,TABLAS!$A$22:$B$26,2)</f>
        <v/>
      </c>
      <c r="E179" s="54" t="n"/>
      <c r="F179" s="37">
        <f>+E179*C179</f>
        <v/>
      </c>
      <c r="G179" s="1" t="n"/>
      <c r="H179" s="1" t="n"/>
      <c r="I179" s="1" t="n"/>
      <c r="J179" s="1" t="n"/>
    </row>
    <row r="180">
      <c r="A180" s="68">
        <f>+Agentes!A180</f>
        <v/>
      </c>
      <c r="B180" s="51">
        <f>VLOOKUP(C180,TABLAS!$A$3:$B$7,2)</f>
        <v/>
      </c>
      <c r="C180" s="54" t="n"/>
      <c r="D180" s="1">
        <f>VLOOKUP(E180,TABLAS!$A$22:$B$26,2)</f>
        <v/>
      </c>
      <c r="E180" s="54" t="n"/>
      <c r="F180" s="37">
        <f>+E180*C180</f>
        <v/>
      </c>
      <c r="G180" s="1" t="n"/>
      <c r="H180" s="1" t="n"/>
      <c r="I180" s="1" t="n"/>
      <c r="J180" s="1" t="n"/>
    </row>
    <row r="181">
      <c r="A181" s="68">
        <f>+Agentes!A181</f>
        <v/>
      </c>
      <c r="B181" s="51">
        <f>VLOOKUP(C181,TABLAS!$A$3:$B$7,2)</f>
        <v/>
      </c>
      <c r="C181" s="54" t="n"/>
      <c r="D181" s="1">
        <f>VLOOKUP(E181,TABLAS!$A$22:$B$26,2)</f>
        <v/>
      </c>
      <c r="E181" s="54" t="n"/>
      <c r="F181" s="37">
        <f>+E181*C181</f>
        <v/>
      </c>
      <c r="G181" s="1" t="n"/>
      <c r="H181" s="1" t="n"/>
      <c r="I181" s="1" t="n"/>
      <c r="J181" s="1" t="n"/>
    </row>
    <row r="182">
      <c r="A182" s="68">
        <f>+Agentes!A182</f>
        <v/>
      </c>
      <c r="B182" s="51">
        <f>VLOOKUP(C182,TABLAS!$A$3:$B$7,2)</f>
        <v/>
      </c>
      <c r="C182" s="54" t="n"/>
      <c r="D182" s="1">
        <f>VLOOKUP(E182,TABLAS!$A$22:$B$26,2)</f>
        <v/>
      </c>
      <c r="E182" s="54" t="n"/>
      <c r="F182" s="37">
        <f>+E182*C182</f>
        <v/>
      </c>
      <c r="G182" s="1" t="n"/>
      <c r="H182" s="1" t="n"/>
      <c r="I182" s="1" t="n"/>
      <c r="J182" s="1" t="n"/>
    </row>
    <row r="183">
      <c r="A183" s="68">
        <f>+Agentes!A183</f>
        <v/>
      </c>
      <c r="B183" s="51">
        <f>VLOOKUP(C183,TABLAS!$A$3:$B$7,2)</f>
        <v/>
      </c>
      <c r="C183" s="54" t="n"/>
      <c r="D183" s="1">
        <f>VLOOKUP(E183,TABLAS!$A$22:$B$26,2)</f>
        <v/>
      </c>
      <c r="E183" s="54" t="n"/>
      <c r="F183" s="37">
        <f>+E183*C183</f>
        <v/>
      </c>
      <c r="G183" s="1" t="n"/>
      <c r="H183" s="1" t="n"/>
      <c r="I183" s="1" t="n"/>
      <c r="J183" s="1" t="n"/>
    </row>
    <row r="184">
      <c r="A184" s="68">
        <f>+Agentes!A184</f>
        <v/>
      </c>
      <c r="B184" s="51">
        <f>VLOOKUP(C184,TABLAS!$A$3:$B$7,2)</f>
        <v/>
      </c>
      <c r="C184" s="54" t="n"/>
      <c r="D184" s="1">
        <f>VLOOKUP(E184,TABLAS!$A$22:$B$26,2)</f>
        <v/>
      </c>
      <c r="E184" s="54" t="n"/>
      <c r="F184" s="37">
        <f>+E184*C184</f>
        <v/>
      </c>
      <c r="G184" s="1" t="n"/>
      <c r="H184" s="1" t="n"/>
      <c r="I184" s="1" t="n"/>
      <c r="J184" s="1" t="n"/>
    </row>
    <row r="185">
      <c r="A185" s="68">
        <f>+Agentes!A185</f>
        <v/>
      </c>
      <c r="B185" s="51">
        <f>VLOOKUP(C185,TABLAS!$A$3:$B$7,2)</f>
        <v/>
      </c>
      <c r="C185" s="54" t="n"/>
      <c r="D185" s="1">
        <f>VLOOKUP(E185,TABLAS!$A$22:$B$26,2)</f>
        <v/>
      </c>
      <c r="E185" s="54" t="n"/>
      <c r="F185" s="37">
        <f>+E185*C185</f>
        <v/>
      </c>
      <c r="G185" s="1" t="n"/>
      <c r="H185" s="1" t="n"/>
      <c r="I185" s="1" t="n"/>
      <c r="J185" s="1" t="n"/>
    </row>
    <row r="186">
      <c r="A186" s="68">
        <f>+Agentes!A186</f>
        <v/>
      </c>
      <c r="B186" s="51">
        <f>VLOOKUP(C186,TABLAS!$A$3:$B$7,2)</f>
        <v/>
      </c>
      <c r="C186" s="54" t="n"/>
      <c r="D186" s="1">
        <f>VLOOKUP(E186,TABLAS!$A$22:$B$26,2)</f>
        <v/>
      </c>
      <c r="E186" s="54" t="n"/>
      <c r="F186" s="37">
        <f>+E186*C186</f>
        <v/>
      </c>
      <c r="G186" s="1" t="n"/>
      <c r="H186" s="1" t="n"/>
      <c r="I186" s="1" t="n"/>
      <c r="J186" s="1" t="n"/>
    </row>
    <row r="187">
      <c r="A187" s="68">
        <f>+Agentes!A187</f>
        <v/>
      </c>
      <c r="B187" s="51">
        <f>VLOOKUP(C187,TABLAS!$A$3:$B$7,2)</f>
        <v/>
      </c>
      <c r="C187" s="54" t="n"/>
      <c r="D187" s="1">
        <f>VLOOKUP(E187,TABLAS!$A$22:$B$26,2)</f>
        <v/>
      </c>
      <c r="E187" s="54" t="n"/>
      <c r="F187" s="37">
        <f>+E187*C187</f>
        <v/>
      </c>
      <c r="G187" s="1" t="n"/>
      <c r="H187" s="1" t="n"/>
      <c r="I187" s="1" t="n"/>
      <c r="J187" s="1" t="n"/>
    </row>
    <row r="188">
      <c r="A188" s="68">
        <f>+Agentes!A188</f>
        <v/>
      </c>
      <c r="B188" s="51">
        <f>VLOOKUP(C188,TABLAS!$A$3:$B$7,2)</f>
        <v/>
      </c>
      <c r="C188" s="54" t="n"/>
      <c r="D188" s="1">
        <f>VLOOKUP(E188,TABLAS!$A$22:$B$26,2)</f>
        <v/>
      </c>
      <c r="E188" s="54" t="n"/>
      <c r="F188" s="37">
        <f>+E188*C188</f>
        <v/>
      </c>
      <c r="G188" s="1" t="n"/>
      <c r="H188" s="1" t="n"/>
      <c r="I188" s="1" t="n"/>
      <c r="J188" s="1" t="n"/>
    </row>
    <row r="189">
      <c r="A189" s="68">
        <f>+Agentes!A189</f>
        <v/>
      </c>
      <c r="B189" s="51">
        <f>VLOOKUP(C189,TABLAS!$A$3:$B$7,2)</f>
        <v/>
      </c>
      <c r="C189" s="54" t="n"/>
      <c r="D189" s="1">
        <f>VLOOKUP(E189,TABLAS!$A$22:$B$26,2)</f>
        <v/>
      </c>
      <c r="E189" s="54" t="n"/>
      <c r="F189" s="37">
        <f>+E189*C189</f>
        <v/>
      </c>
      <c r="G189" s="1" t="n"/>
      <c r="H189" s="1" t="n"/>
      <c r="I189" s="1" t="n"/>
      <c r="J189" s="1" t="n"/>
    </row>
    <row r="190">
      <c r="A190" s="68">
        <f>+Agentes!A190</f>
        <v/>
      </c>
      <c r="B190" s="51">
        <f>VLOOKUP(C190,TABLAS!$A$3:$B$7,2)</f>
        <v/>
      </c>
      <c r="C190" s="54" t="n"/>
      <c r="D190" s="1">
        <f>VLOOKUP(E190,TABLAS!$A$22:$B$26,2)</f>
        <v/>
      </c>
      <c r="E190" s="54" t="n"/>
      <c r="F190" s="37">
        <f>+E190*C190</f>
        <v/>
      </c>
      <c r="G190" s="1" t="n"/>
      <c r="H190" s="1" t="n"/>
      <c r="I190" s="1" t="n"/>
      <c r="J190" s="1" t="n"/>
    </row>
    <row r="191">
      <c r="A191" s="68">
        <f>+Agentes!A191</f>
        <v/>
      </c>
      <c r="B191" s="51">
        <f>VLOOKUP(C191,TABLAS!$A$3:$B$7,2)</f>
        <v/>
      </c>
      <c r="C191" s="54" t="n"/>
      <c r="D191" s="1">
        <f>VLOOKUP(E191,TABLAS!$A$22:$B$26,2)</f>
        <v/>
      </c>
      <c r="E191" s="54" t="n"/>
      <c r="F191" s="37">
        <f>+E191*C191</f>
        <v/>
      </c>
      <c r="G191" s="1" t="n"/>
      <c r="H191" s="1" t="n"/>
      <c r="I191" s="1" t="n"/>
      <c r="J191" s="1" t="n"/>
    </row>
    <row r="192">
      <c r="A192" s="68">
        <f>+Agentes!A192</f>
        <v/>
      </c>
      <c r="B192" s="51">
        <f>VLOOKUP(C192,TABLAS!$A$3:$B$7,2)</f>
        <v/>
      </c>
      <c r="C192" s="54" t="n"/>
      <c r="D192" s="1">
        <f>VLOOKUP(E192,TABLAS!$A$22:$B$26,2)</f>
        <v/>
      </c>
      <c r="E192" s="54" t="n"/>
      <c r="F192" s="37">
        <f>+E192*C192</f>
        <v/>
      </c>
      <c r="G192" s="1" t="n"/>
      <c r="H192" s="1" t="n"/>
      <c r="I192" s="1" t="n"/>
      <c r="J192" s="1" t="n"/>
    </row>
    <row r="193">
      <c r="A193" s="68">
        <f>+Agentes!A193</f>
        <v/>
      </c>
      <c r="B193" s="51">
        <f>VLOOKUP(C193,TABLAS!$A$3:$B$7,2)</f>
        <v/>
      </c>
      <c r="C193" s="54" t="n"/>
      <c r="D193" s="1">
        <f>VLOOKUP(E193,TABLAS!$A$22:$B$26,2)</f>
        <v/>
      </c>
      <c r="E193" s="54" t="n"/>
      <c r="F193" s="37">
        <f>+E193*C193</f>
        <v/>
      </c>
      <c r="G193" s="1" t="n"/>
      <c r="H193" s="1" t="n"/>
      <c r="I193" s="1" t="n"/>
      <c r="J193" s="1" t="n"/>
    </row>
    <row r="194">
      <c r="A194" s="68">
        <f>+Agentes!A194</f>
        <v/>
      </c>
      <c r="B194" s="51">
        <f>VLOOKUP(C194,TABLAS!$A$3:$B$7,2)</f>
        <v/>
      </c>
      <c r="C194" s="54" t="n"/>
      <c r="D194" s="1">
        <f>VLOOKUP(E194,TABLAS!$A$22:$B$26,2)</f>
        <v/>
      </c>
      <c r="E194" s="54" t="n"/>
      <c r="F194" s="37">
        <f>+E194*C194</f>
        <v/>
      </c>
      <c r="G194" s="1" t="n"/>
      <c r="H194" s="1" t="n"/>
      <c r="I194" s="1" t="n"/>
      <c r="J194" s="1" t="n"/>
    </row>
    <row r="195">
      <c r="A195" s="68">
        <f>+Agentes!A195</f>
        <v/>
      </c>
      <c r="B195" s="51">
        <f>VLOOKUP(C195,TABLAS!$A$3:$B$7,2)</f>
        <v/>
      </c>
      <c r="C195" s="54" t="n"/>
      <c r="D195" s="1">
        <f>VLOOKUP(E195,TABLAS!$A$22:$B$26,2)</f>
        <v/>
      </c>
      <c r="E195" s="54" t="n"/>
      <c r="F195" s="37">
        <f>+E195*C195</f>
        <v/>
      </c>
      <c r="G195" s="1" t="n"/>
      <c r="H195" s="1" t="n"/>
      <c r="I195" s="1" t="n"/>
      <c r="J195" s="1" t="n"/>
    </row>
    <row r="196">
      <c r="A196" s="68">
        <f>+Agentes!A196</f>
        <v/>
      </c>
      <c r="B196" s="51">
        <f>VLOOKUP(C196,TABLAS!$A$3:$B$7,2)</f>
        <v/>
      </c>
      <c r="C196" s="54" t="n"/>
      <c r="D196" s="1">
        <f>VLOOKUP(E196,TABLAS!$A$22:$B$26,2)</f>
        <v/>
      </c>
      <c r="E196" s="54" t="n"/>
      <c r="F196" s="37">
        <f>+E196*C196</f>
        <v/>
      </c>
      <c r="G196" s="1" t="n"/>
      <c r="H196" s="1" t="n"/>
      <c r="I196" s="1" t="n"/>
      <c r="J196" s="1" t="n"/>
    </row>
    <row r="197">
      <c r="A197" s="68">
        <f>+Agentes!A197</f>
        <v/>
      </c>
      <c r="B197" s="51">
        <f>VLOOKUP(C197,TABLAS!$A$3:$B$7,2)</f>
        <v/>
      </c>
      <c r="C197" s="54" t="n"/>
      <c r="D197" s="1">
        <f>VLOOKUP(E197,TABLAS!$A$22:$B$26,2)</f>
        <v/>
      </c>
      <c r="E197" s="54" t="n"/>
      <c r="F197" s="37">
        <f>+E197*C197</f>
        <v/>
      </c>
      <c r="G197" s="1" t="n"/>
      <c r="H197" s="1" t="n"/>
      <c r="I197" s="1" t="n"/>
      <c r="J197" s="1" t="n"/>
    </row>
    <row r="198">
      <c r="A198" s="68">
        <f>+Agentes!A198</f>
        <v/>
      </c>
      <c r="B198" s="51">
        <f>VLOOKUP(C198,TABLAS!$A$3:$B$7,2)</f>
        <v/>
      </c>
      <c r="C198" s="54" t="n"/>
      <c r="D198" s="1">
        <f>VLOOKUP(E198,TABLAS!$A$22:$B$26,2)</f>
        <v/>
      </c>
      <c r="E198" s="54" t="n"/>
      <c r="F198" s="37">
        <f>+E198*C198</f>
        <v/>
      </c>
      <c r="G198" s="1" t="n"/>
      <c r="H198" s="1" t="n"/>
      <c r="I198" s="1" t="n"/>
      <c r="J198" s="1" t="n"/>
    </row>
    <row r="199">
      <c r="A199" s="68">
        <f>+Agentes!A199</f>
        <v/>
      </c>
      <c r="B199" s="51">
        <f>VLOOKUP(C199,TABLAS!$A$3:$B$7,2)</f>
        <v/>
      </c>
      <c r="C199" s="54" t="n"/>
      <c r="D199" s="1">
        <f>VLOOKUP(E199,TABLAS!$A$22:$B$26,2)</f>
        <v/>
      </c>
      <c r="E199" s="54" t="n"/>
      <c r="F199" s="37">
        <f>+E199*C199</f>
        <v/>
      </c>
      <c r="G199" s="1" t="n"/>
      <c r="H199" s="1" t="n"/>
      <c r="I199" s="1" t="n"/>
      <c r="J199" s="1" t="n"/>
    </row>
    <row r="200">
      <c r="A200" s="68">
        <f>+Agentes!A200</f>
        <v/>
      </c>
      <c r="B200" s="51">
        <f>VLOOKUP(C200,TABLAS!$A$3:$B$7,2)</f>
        <v/>
      </c>
      <c r="C200" s="54" t="n"/>
      <c r="D200" s="1">
        <f>VLOOKUP(E200,TABLAS!$A$22:$B$26,2)</f>
        <v/>
      </c>
      <c r="E200" s="54" t="n"/>
      <c r="F200" s="37">
        <f>+E200*C200</f>
        <v/>
      </c>
      <c r="G200" s="1" t="n"/>
      <c r="H200" s="1" t="n"/>
      <c r="I200" s="1" t="n"/>
      <c r="J200" s="1" t="n"/>
    </row>
    <row r="201">
      <c r="A201" s="68">
        <f>+Agentes!A201</f>
        <v/>
      </c>
      <c r="B201" s="51">
        <f>VLOOKUP(C201,TABLAS!$A$3:$B$7,2)</f>
        <v/>
      </c>
      <c r="C201" s="54" t="n"/>
      <c r="D201" s="1">
        <f>VLOOKUP(E201,TABLAS!$A$22:$B$26,2)</f>
        <v/>
      </c>
      <c r="E201" s="54" t="n"/>
      <c r="F201" s="37">
        <f>+E201*C201</f>
        <v/>
      </c>
      <c r="G201" s="1" t="n"/>
      <c r="H201" s="1" t="n"/>
      <c r="I201" s="1" t="n"/>
      <c r="J201" s="1" t="n"/>
    </row>
    <row r="202">
      <c r="A202" s="68">
        <f>+Agentes!A202</f>
        <v/>
      </c>
      <c r="B202" s="51">
        <f>VLOOKUP(C202,TABLAS!$A$3:$B$7,2)</f>
        <v/>
      </c>
      <c r="C202" s="54" t="n"/>
      <c r="D202" s="1">
        <f>VLOOKUP(E202,TABLAS!$A$22:$B$26,2)</f>
        <v/>
      </c>
      <c r="E202" s="54" t="n"/>
      <c r="F202" s="37">
        <f>+E202*C202</f>
        <v/>
      </c>
      <c r="G202" s="1" t="n"/>
      <c r="H202" s="1" t="n"/>
      <c r="I202" s="1" t="n"/>
      <c r="J202" s="1" t="n"/>
    </row>
    <row r="203">
      <c r="A203" s="68">
        <f>+Agentes!A203</f>
        <v/>
      </c>
      <c r="B203" s="51">
        <f>VLOOKUP(C203,TABLAS!$A$3:$B$7,2)</f>
        <v/>
      </c>
      <c r="C203" s="54" t="n"/>
      <c r="D203" s="1">
        <f>VLOOKUP(E203,TABLAS!$A$22:$B$26,2)</f>
        <v/>
      </c>
      <c r="E203" s="54" t="n"/>
      <c r="F203" s="37">
        <f>+E203*C203</f>
        <v/>
      </c>
      <c r="G203" s="1" t="n"/>
      <c r="H203" s="1" t="n"/>
      <c r="I203" s="1" t="n"/>
      <c r="J203" s="1" t="n"/>
    </row>
    <row r="204">
      <c r="A204" s="68">
        <f>+Agentes!A204</f>
        <v/>
      </c>
      <c r="B204" s="51">
        <f>VLOOKUP(C204,TABLAS!$A$3:$B$7,2)</f>
        <v/>
      </c>
      <c r="C204" s="54" t="n"/>
      <c r="D204" s="1">
        <f>VLOOKUP(E204,TABLAS!$A$22:$B$26,2)</f>
        <v/>
      </c>
      <c r="E204" s="54" t="n"/>
      <c r="F204" s="37">
        <f>+E204*C204</f>
        <v/>
      </c>
      <c r="G204" s="1" t="n"/>
      <c r="H204" s="1" t="n"/>
      <c r="I204" s="1" t="n"/>
      <c r="J204" s="1" t="n"/>
    </row>
    <row r="205">
      <c r="A205" s="68">
        <f>+Agentes!A205</f>
        <v/>
      </c>
      <c r="B205" s="51">
        <f>VLOOKUP(C205,TABLAS!$A$3:$B$7,2)</f>
        <v/>
      </c>
      <c r="C205" s="54" t="n"/>
      <c r="D205" s="1">
        <f>VLOOKUP(E205,TABLAS!$A$22:$B$26,2)</f>
        <v/>
      </c>
      <c r="E205" s="54" t="n"/>
      <c r="F205" s="37">
        <f>+E205*C205</f>
        <v/>
      </c>
      <c r="G205" s="1" t="n"/>
      <c r="H205" s="1" t="n"/>
      <c r="I205" s="1" t="n"/>
      <c r="J205" s="1" t="n"/>
    </row>
    <row r="206">
      <c r="A206" s="68">
        <f>+Agentes!A206</f>
        <v/>
      </c>
      <c r="B206" s="51">
        <f>VLOOKUP(C206,TABLAS!$A$3:$B$7,2)</f>
        <v/>
      </c>
      <c r="C206" s="54" t="n"/>
      <c r="D206" s="1">
        <f>VLOOKUP(E206,TABLAS!$A$22:$B$26,2)</f>
        <v/>
      </c>
      <c r="E206" s="54" t="n"/>
      <c r="F206" s="37">
        <f>+E206*C206</f>
        <v/>
      </c>
      <c r="G206" s="1" t="n"/>
      <c r="H206" s="1" t="n"/>
      <c r="I206" s="1" t="n"/>
      <c r="J206" s="1" t="n"/>
    </row>
    <row r="207">
      <c r="A207" s="68">
        <f>+Agentes!A207</f>
        <v/>
      </c>
      <c r="B207" s="51">
        <f>VLOOKUP(C207,TABLAS!$A$3:$B$7,2)</f>
        <v/>
      </c>
      <c r="C207" s="54" t="n"/>
      <c r="D207" s="1">
        <f>VLOOKUP(E207,TABLAS!$A$22:$B$26,2)</f>
        <v/>
      </c>
      <c r="E207" s="54" t="n"/>
      <c r="F207" s="37">
        <f>+E207*C207</f>
        <v/>
      </c>
      <c r="G207" s="1" t="n"/>
      <c r="H207" s="1" t="n"/>
      <c r="I207" s="1" t="n"/>
      <c r="J207" s="1" t="n"/>
    </row>
    <row r="208">
      <c r="A208" s="68">
        <f>+Agentes!A208</f>
        <v/>
      </c>
      <c r="B208" s="51">
        <f>VLOOKUP(C208,TABLAS!$A$3:$B$7,2)</f>
        <v/>
      </c>
      <c r="C208" s="54" t="n"/>
      <c r="D208" s="1">
        <f>VLOOKUP(E208,TABLAS!$A$22:$B$26,2)</f>
        <v/>
      </c>
      <c r="E208" s="54" t="n"/>
      <c r="F208" s="37">
        <f>+E208*C208</f>
        <v/>
      </c>
      <c r="G208" s="1" t="n"/>
      <c r="H208" s="1" t="n"/>
      <c r="I208" s="1" t="n"/>
      <c r="J208" s="1" t="n"/>
    </row>
    <row r="209">
      <c r="A209" s="68">
        <f>+Agentes!A209</f>
        <v/>
      </c>
      <c r="B209" s="51">
        <f>VLOOKUP(C209,TABLAS!$A$3:$B$7,2)</f>
        <v/>
      </c>
      <c r="C209" s="54" t="n"/>
      <c r="D209" s="1">
        <f>VLOOKUP(E209,TABLAS!$A$22:$B$26,2)</f>
        <v/>
      </c>
      <c r="E209" s="54" t="n"/>
      <c r="F209" s="37">
        <f>+E209*C209</f>
        <v/>
      </c>
      <c r="G209" s="1" t="n"/>
      <c r="H209" s="1" t="n"/>
      <c r="I209" s="1" t="n"/>
      <c r="J209" s="1" t="n"/>
    </row>
    <row r="210">
      <c r="A210" s="68">
        <f>+Agentes!A210</f>
        <v/>
      </c>
      <c r="B210" s="51">
        <f>VLOOKUP(C210,TABLAS!$A$3:$B$7,2)</f>
        <v/>
      </c>
      <c r="C210" s="54" t="n"/>
      <c r="D210" s="1">
        <f>VLOOKUP(E210,TABLAS!$A$22:$B$26,2)</f>
        <v/>
      </c>
      <c r="E210" s="54" t="n"/>
      <c r="F210" s="37">
        <f>+E210*C210</f>
        <v/>
      </c>
      <c r="G210" s="1" t="n"/>
      <c r="H210" s="1" t="n"/>
      <c r="I210" s="1" t="n"/>
      <c r="J210" s="1" t="n"/>
    </row>
    <row r="211">
      <c r="A211" s="68">
        <f>+Agentes!A211</f>
        <v/>
      </c>
      <c r="B211" s="51">
        <f>VLOOKUP(C211,TABLAS!$A$3:$B$7,2)</f>
        <v/>
      </c>
      <c r="C211" s="54" t="n"/>
      <c r="D211" s="1">
        <f>VLOOKUP(E211,TABLAS!$A$22:$B$26,2)</f>
        <v/>
      </c>
      <c r="E211" s="54" t="n"/>
      <c r="F211" s="37">
        <f>+E211*C211</f>
        <v/>
      </c>
      <c r="G211" s="1" t="n"/>
      <c r="H211" s="1" t="n"/>
      <c r="I211" s="1" t="n"/>
      <c r="J211" s="1" t="n"/>
    </row>
    <row r="212">
      <c r="A212" s="68">
        <f>+Agentes!A212</f>
        <v/>
      </c>
      <c r="B212" s="51">
        <f>VLOOKUP(C212,TABLAS!$A$3:$B$7,2)</f>
        <v/>
      </c>
      <c r="C212" s="54" t="n"/>
      <c r="D212" s="1">
        <f>VLOOKUP(E212,TABLAS!$A$22:$B$26,2)</f>
        <v/>
      </c>
      <c r="E212" s="54" t="n"/>
      <c r="F212" s="37">
        <f>+E212*C212</f>
        <v/>
      </c>
      <c r="G212" s="1" t="n"/>
      <c r="H212" s="1" t="n"/>
      <c r="I212" s="1" t="n"/>
      <c r="J212" s="1" t="n"/>
    </row>
    <row r="213">
      <c r="A213" s="68">
        <f>+Agentes!A213</f>
        <v/>
      </c>
      <c r="B213" s="51">
        <f>VLOOKUP(C213,TABLAS!$A$3:$B$7,2)</f>
        <v/>
      </c>
      <c r="C213" s="54" t="n"/>
      <c r="D213" s="1">
        <f>VLOOKUP(E213,TABLAS!$A$22:$B$26,2)</f>
        <v/>
      </c>
      <c r="E213" s="54" t="n"/>
      <c r="F213" s="37">
        <f>+E213*C213</f>
        <v/>
      </c>
      <c r="G213" s="1" t="n"/>
      <c r="H213" s="1" t="n"/>
      <c r="I213" s="1" t="n"/>
      <c r="J213" s="1" t="n"/>
    </row>
    <row r="214">
      <c r="A214" s="68">
        <f>+Agentes!A214</f>
        <v/>
      </c>
      <c r="B214" s="51">
        <f>VLOOKUP(C214,TABLAS!$A$3:$B$7,2)</f>
        <v/>
      </c>
      <c r="C214" s="54" t="n"/>
      <c r="D214" s="1">
        <f>VLOOKUP(E214,TABLAS!$A$22:$B$26,2)</f>
        <v/>
      </c>
      <c r="E214" s="54" t="n"/>
      <c r="F214" s="37">
        <f>+E214*C214</f>
        <v/>
      </c>
      <c r="G214" s="1" t="n"/>
      <c r="H214" s="1" t="n"/>
      <c r="I214" s="1" t="n"/>
      <c r="J214" s="1" t="n"/>
    </row>
    <row r="215" ht="18" customHeight="1">
      <c r="A215" s="68">
        <f>+Agentes!A215</f>
        <v/>
      </c>
      <c r="B215" s="52" t="n"/>
      <c r="F215" s="37">
        <f>+E215*C215</f>
        <v/>
      </c>
    </row>
    <row r="216" ht="18" customHeight="1">
      <c r="A216" s="68">
        <f>+Agentes!A216</f>
        <v/>
      </c>
      <c r="B216" s="52" t="n"/>
      <c r="F216" s="37">
        <f>+E216*C216</f>
        <v/>
      </c>
    </row>
    <row r="217" ht="18" customHeight="1">
      <c r="A217" s="68">
        <f>+Agentes!A217</f>
        <v/>
      </c>
      <c r="B217" s="52" t="n"/>
      <c r="F217" s="37">
        <f>+E217*C217</f>
        <v/>
      </c>
    </row>
    <row r="218" ht="18" customHeight="1">
      <c r="A218" s="68">
        <f>+Agentes!A218</f>
        <v/>
      </c>
      <c r="B218" s="52" t="n"/>
      <c r="F218" s="37">
        <f>+E218*C218</f>
        <v/>
      </c>
    </row>
    <row r="219" ht="18" customHeight="1">
      <c r="A219" s="68">
        <f>+Agentes!A219</f>
        <v/>
      </c>
      <c r="B219" s="52" t="n"/>
      <c r="F219" s="37">
        <f>+E219*C219</f>
        <v/>
      </c>
    </row>
    <row r="220" ht="18" customHeight="1">
      <c r="A220" s="68">
        <f>+Agentes!A220</f>
        <v/>
      </c>
      <c r="B220" s="52" t="n"/>
      <c r="F220" s="37">
        <f>+E220*C220</f>
        <v/>
      </c>
    </row>
    <row r="221" ht="18" customHeight="1">
      <c r="A221" s="68">
        <f>+Agentes!A221</f>
        <v/>
      </c>
      <c r="B221" s="52" t="n"/>
      <c r="F221" s="37">
        <f>+E221*C221</f>
        <v/>
      </c>
    </row>
    <row r="222" ht="18" customHeight="1">
      <c r="A222" s="68">
        <f>+Agentes!A222</f>
        <v/>
      </c>
      <c r="B222" s="52" t="n"/>
      <c r="F222" s="37">
        <f>+E222*C222</f>
        <v/>
      </c>
    </row>
    <row r="223" ht="18" customHeight="1">
      <c r="A223" s="68">
        <f>+Agentes!A223</f>
        <v/>
      </c>
      <c r="B223" s="52" t="n"/>
      <c r="F223" s="37">
        <f>+E223*C223</f>
        <v/>
      </c>
    </row>
    <row r="224" ht="18" customHeight="1">
      <c r="A224" s="68">
        <f>+Agentes!A224</f>
        <v/>
      </c>
      <c r="B224" s="52" t="n"/>
      <c r="F224" s="37">
        <f>+E224*C224</f>
        <v/>
      </c>
    </row>
    <row r="225" ht="18" customHeight="1">
      <c r="A225" s="52" t="n"/>
      <c r="B225" s="52" t="n"/>
    </row>
    <row r="226" ht="18" customHeight="1">
      <c r="A226" s="52" t="n"/>
      <c r="B226" s="52" t="n"/>
    </row>
    <row r="227" ht="18" customHeight="1">
      <c r="A227" s="52" t="n"/>
      <c r="B227" s="52" t="n"/>
    </row>
    <row r="228" ht="18" customHeight="1">
      <c r="A228" s="52" t="n"/>
      <c r="B228" s="52" t="n"/>
    </row>
    <row r="229" ht="18" customHeight="1">
      <c r="A229" s="52" t="n"/>
      <c r="B229" s="52" t="n"/>
    </row>
    <row r="230" ht="18" customHeight="1">
      <c r="A230" s="52" t="n"/>
      <c r="B230" s="52" t="n"/>
    </row>
    <row r="231" ht="18" customHeight="1">
      <c r="A231" s="52" t="n"/>
      <c r="B231" s="52" t="n"/>
    </row>
    <row r="232" ht="18" customHeight="1">
      <c r="A232" s="52" t="n"/>
      <c r="B232" s="52" t="n"/>
    </row>
    <row r="233" ht="18" customHeight="1">
      <c r="A233" s="52" t="n"/>
      <c r="B233" s="52" t="n"/>
    </row>
    <row r="234" ht="18" customHeight="1">
      <c r="A234" s="52" t="n"/>
      <c r="B234" s="52" t="n"/>
    </row>
    <row r="235" ht="18" customHeight="1">
      <c r="A235" s="52" t="n"/>
      <c r="B235" s="52" t="n"/>
    </row>
    <row r="236" ht="18" customHeight="1">
      <c r="A236" s="52" t="n"/>
      <c r="B236" s="52" t="n"/>
    </row>
    <row r="237" ht="18" customHeight="1">
      <c r="A237" s="52" t="n"/>
      <c r="B237" s="52" t="n"/>
    </row>
    <row r="238" ht="18" customHeight="1">
      <c r="A238" s="52" t="n"/>
      <c r="B238" s="52" t="n"/>
    </row>
    <row r="239" ht="18" customHeight="1">
      <c r="A239" s="52" t="n"/>
      <c r="B239" s="52" t="n"/>
    </row>
    <row r="240" ht="18" customHeight="1">
      <c r="A240" s="52" t="n"/>
      <c r="B240" s="52" t="n"/>
    </row>
    <row r="241" ht="18" customHeight="1">
      <c r="A241" s="52" t="n"/>
      <c r="B241" s="52" t="n"/>
    </row>
    <row r="242" ht="18" customHeight="1">
      <c r="A242" s="52" t="n"/>
      <c r="B242" s="52" t="n"/>
    </row>
    <row r="243" ht="18" customHeight="1">
      <c r="A243" s="52" t="n"/>
      <c r="B243" s="52" t="n"/>
    </row>
    <row r="244" ht="18" customHeight="1">
      <c r="A244" s="52" t="n"/>
      <c r="B244" s="52" t="n"/>
    </row>
    <row r="245" ht="18" customHeight="1">
      <c r="A245" s="52" t="n"/>
      <c r="B245" s="52" t="n"/>
    </row>
    <row r="246" ht="18" customHeight="1">
      <c r="A246" s="52" t="n"/>
      <c r="B246" s="52" t="n"/>
    </row>
    <row r="247" ht="18" customHeight="1">
      <c r="A247" s="52" t="n"/>
      <c r="B247" s="52" t="n"/>
    </row>
    <row r="248" ht="18" customHeight="1">
      <c r="A248" s="52" t="n"/>
      <c r="B248" s="52" t="n"/>
    </row>
    <row r="249" ht="18" customHeight="1">
      <c r="A249" s="52" t="n"/>
      <c r="B249" s="52" t="n"/>
    </row>
    <row r="250" ht="18" customHeight="1">
      <c r="A250" s="52" t="n"/>
      <c r="B250" s="52" t="n"/>
    </row>
    <row r="251" ht="18" customHeight="1">
      <c r="A251" s="52" t="n"/>
      <c r="B251" s="52" t="n"/>
    </row>
    <row r="252" ht="18" customHeight="1">
      <c r="A252" s="52" t="n"/>
      <c r="B252" s="52" t="n"/>
    </row>
    <row r="253" ht="18" customHeight="1">
      <c r="A253" s="52" t="n"/>
      <c r="B253" s="52" t="n"/>
    </row>
    <row r="254" ht="18" customHeight="1">
      <c r="A254" s="52" t="n"/>
      <c r="B254" s="52" t="n"/>
    </row>
    <row r="255" ht="18" customHeight="1">
      <c r="A255" s="52" t="n"/>
      <c r="B255" s="52" t="n"/>
    </row>
    <row r="256" ht="18" customHeight="1">
      <c r="A256" s="52" t="n"/>
      <c r="B256" s="52" t="n"/>
    </row>
    <row r="257" ht="18" customHeight="1">
      <c r="A257" s="52" t="n"/>
      <c r="B257" s="52" t="n"/>
    </row>
    <row r="258" ht="18" customHeight="1">
      <c r="A258" s="52" t="n"/>
      <c r="B258" s="52" t="n"/>
    </row>
    <row r="259" ht="18" customHeight="1">
      <c r="A259" s="52" t="n"/>
      <c r="B259" s="52" t="n"/>
    </row>
    <row r="260" ht="18" customHeight="1">
      <c r="A260" s="52" t="n"/>
      <c r="B260" s="52" t="n"/>
    </row>
    <row r="261" ht="18" customHeight="1">
      <c r="A261" s="52" t="n"/>
      <c r="B261" s="52" t="n"/>
    </row>
    <row r="262" ht="18" customHeight="1">
      <c r="A262" s="52" t="n"/>
      <c r="B262" s="52" t="n"/>
    </row>
    <row r="263" ht="18" customHeight="1">
      <c r="A263" s="52" t="n"/>
      <c r="B263" s="52" t="n"/>
    </row>
    <row r="264" ht="18" customHeight="1">
      <c r="A264" s="52" t="n"/>
      <c r="B264" s="52" t="n"/>
    </row>
    <row r="265" ht="18" customHeight="1">
      <c r="A265" s="52" t="n"/>
      <c r="B265" s="52" t="n"/>
    </row>
    <row r="266" ht="18" customHeight="1">
      <c r="A266" s="52" t="n"/>
      <c r="B266" s="52" t="n"/>
    </row>
    <row r="267" ht="18" customHeight="1">
      <c r="A267" s="52" t="n"/>
      <c r="B267" s="52" t="n"/>
    </row>
  </sheetData>
  <mergeCells count="3">
    <mergeCell ref="A1:E1"/>
    <mergeCell ref="B2:C2"/>
    <mergeCell ref="D2:E2"/>
  </mergeCells>
  <dataValidations count="1">
    <dataValidation sqref="C3:C214 E3:E214" showDropDown="0" showInputMessage="1" showErrorMessage="1" allowBlank="1" type="list">
      <formula1>"1,2,3,4,5"</formula1>
    </dataValidation>
  </dataValidations>
  <pageMargins left="0.75" right="0.75" top="1" bottom="1" header="0" footer="0"/>
  <pageSetup orientation="portrait"/>
</worksheet>
</file>

<file path=xl/worksheets/sheet12.xml><?xml version="1.0" encoding="utf-8"?>
<worksheet xmlns="http://schemas.openxmlformats.org/spreadsheetml/2006/main">
  <sheetPr codeName="Hoja10">
    <tabColor rgb="FF0070C0"/>
    <outlinePr summaryBelow="1" summaryRight="1"/>
    <pageSetUpPr/>
  </sheetPr>
  <dimension ref="A5:L13"/>
  <sheetViews>
    <sheetView topLeftCell="A4" zoomScale="70" zoomScaleNormal="70" workbookViewId="0">
      <selection activeCell="F10" sqref="F10"/>
    </sheetView>
  </sheetViews>
  <sheetFormatPr baseColWidth="8" defaultColWidth="11.42578125" defaultRowHeight="12.75"/>
  <cols>
    <col width="19.85546875" customWidth="1" min="1" max="1"/>
    <col width="7.85546875" customWidth="1" min="2" max="2"/>
    <col width="19" customWidth="1" min="3" max="3"/>
    <col width="21.140625" customWidth="1" min="4" max="4"/>
    <col width="18.7109375" customWidth="1" min="5" max="5"/>
    <col width="19.7109375" customWidth="1" min="6" max="6"/>
    <col width="23.85546875" customWidth="1" min="7" max="7"/>
  </cols>
  <sheetData>
    <row r="5" ht="21" customHeight="1" thickBot="1">
      <c r="A5" s="171" t="inlineStr">
        <is>
          <t>MAPA DE RIESGOS</t>
        </is>
      </c>
      <c r="B5" s="219" t="n"/>
      <c r="C5" s="219" t="n"/>
      <c r="D5" s="219" t="n"/>
      <c r="E5" s="219" t="n"/>
      <c r="F5" s="219" t="n"/>
      <c r="G5" s="219" t="n"/>
    </row>
    <row r="6" ht="16.5" customHeight="1" thickBot="1">
      <c r="A6" s="14" t="inlineStr">
        <is>
          <t>Probabilidad</t>
        </is>
      </c>
      <c r="B6" s="20" t="n"/>
      <c r="C6" s="166" t="n"/>
      <c r="D6" s="220" t="n"/>
      <c r="E6" s="220" t="n"/>
      <c r="F6" s="220" t="n"/>
      <c r="G6" s="220" t="n"/>
      <c r="J6" s="38" t="inlineStr">
        <is>
          <t>DISTRIBUCIÒN PORCENTUAL</t>
        </is>
      </c>
      <c r="K6" s="38" t="n"/>
      <c r="L6" s="38" t="n"/>
    </row>
    <row r="7" ht="15.75" customHeight="1" thickBot="1">
      <c r="A7" s="167" t="n"/>
      <c r="B7" s="169" t="inlineStr">
        <is>
          <t>valor</t>
        </is>
      </c>
      <c r="C7" s="18" t="n"/>
      <c r="D7" s="17" t="n"/>
      <c r="E7" s="17" t="n"/>
      <c r="F7" s="17" t="n"/>
      <c r="G7" s="17" t="n"/>
      <c r="J7" s="38" t="inlineStr">
        <is>
          <t>ZONA</t>
        </is>
      </c>
      <c r="K7" s="38" t="inlineStr">
        <is>
          <t>%</t>
        </is>
      </c>
      <c r="L7" s="38" t="inlineStr">
        <is>
          <t>Total riesgos</t>
        </is>
      </c>
    </row>
    <row r="8" ht="16.5" customHeight="1" thickBot="1">
      <c r="A8" s="225" t="n"/>
      <c r="B8" s="226" t="n"/>
      <c r="C8" s="19" t="n">
        <v>1</v>
      </c>
      <c r="D8" s="3" t="n">
        <v>2</v>
      </c>
      <c r="E8" s="3" t="n">
        <v>3</v>
      </c>
      <c r="F8" s="3" t="n">
        <v>4</v>
      </c>
      <c r="G8" s="3" t="n">
        <v>5</v>
      </c>
      <c r="J8" s="95" t="inlineStr">
        <is>
          <t>Aceptable</t>
        </is>
      </c>
      <c r="K8" s="96" t="n">
        <v>26.66666666666667</v>
      </c>
      <c r="L8" s="95" t="n">
        <v>4</v>
      </c>
    </row>
    <row r="9" ht="49.5" customHeight="1" thickBot="1">
      <c r="A9" s="133" t="inlineStr">
        <is>
          <t>Casi seguro</t>
        </is>
      </c>
      <c r="B9" s="21" t="n">
        <v>5</v>
      </c>
      <c r="C9" s="23" t="n"/>
      <c r="D9" s="24" t="n"/>
      <c r="E9" s="25" t="n"/>
      <c r="F9" s="25" t="n"/>
      <c r="G9" s="26" t="inlineStr">
        <is>
          <t xml:space="preserve">Amenaza 3  --  Activo 7 || Amenaza 8  --  Activo 6 || Amenaza 11  --  Activo 3 || </t>
        </is>
      </c>
      <c r="J9" s="97" t="inlineStr">
        <is>
          <t>Tolerable</t>
        </is>
      </c>
      <c r="K9" s="98" t="n">
        <v>6.666666666666667</v>
      </c>
      <c r="L9" s="97" t="n">
        <v>1</v>
      </c>
    </row>
    <row r="10" ht="59.25" customHeight="1" thickBot="1">
      <c r="A10" s="133" t="inlineStr">
        <is>
          <t>Probable</t>
        </is>
      </c>
      <c r="B10" s="21" t="n">
        <v>4</v>
      </c>
      <c r="C10" s="27" t="n"/>
      <c r="D10" s="9" t="inlineStr">
        <is>
          <t xml:space="preserve">Amenaza 1  --  Activo 2 || </t>
        </is>
      </c>
      <c r="E10" s="9" t="n"/>
      <c r="F10" s="8" t="inlineStr">
        <is>
          <t xml:space="preserve">Amenaza 4  --  Activo 9 || Amenaza 8  --  Activo 13 || Amenaza 11  --  Activo 12 || </t>
        </is>
      </c>
      <c r="G10" s="28" t="n"/>
      <c r="J10" s="99" t="inlineStr">
        <is>
          <t>Inaceptable</t>
        </is>
      </c>
      <c r="K10" s="100" t="n">
        <v>26.66666666666667</v>
      </c>
      <c r="L10" s="99" t="n">
        <v>4</v>
      </c>
    </row>
    <row r="11" ht="60" customHeight="1" thickBot="1">
      <c r="A11" s="133" t="inlineStr">
        <is>
          <t>Posible</t>
        </is>
      </c>
      <c r="B11" s="21" t="n">
        <v>3</v>
      </c>
      <c r="C11" s="29" t="n"/>
      <c r="D11" s="10" t="n"/>
      <c r="E11" s="9" t="inlineStr">
        <is>
          <t xml:space="preserve">Amenaza 5  --  Activo 1 || Amenaza 9  --  Activo 8 || Amenaza 12  --  Activo 7 || </t>
        </is>
      </c>
      <c r="F11" s="8" t="n"/>
      <c r="G11" s="28" t="n"/>
      <c r="J11" s="101" t="inlineStr">
        <is>
          <t>Inadmisible</t>
        </is>
      </c>
      <c r="K11" s="102" t="n">
        <v>40</v>
      </c>
      <c r="L11" s="101" t="n">
        <v>6</v>
      </c>
    </row>
    <row r="12" ht="54" customHeight="1" thickBot="1">
      <c r="A12" s="133" t="inlineStr">
        <is>
          <t>Improbable</t>
        </is>
      </c>
      <c r="B12" s="21" t="n">
        <v>2</v>
      </c>
      <c r="C12" s="29" t="n"/>
      <c r="D12" s="11" t="inlineStr">
        <is>
          <t xml:space="preserve">Amenaza 6  --  Activo 11 || Amenaza 10  --  Activo 5 || </t>
        </is>
      </c>
      <c r="E12" s="10" t="inlineStr">
        <is>
          <t xml:space="preserve">Amenaza 2  --  Activo 4 || </t>
        </is>
      </c>
      <c r="F12" s="9" t="n"/>
      <c r="G12" s="28" t="n"/>
    </row>
    <row r="13" ht="54.75" customHeight="1" thickBot="1">
      <c r="A13" s="133" t="inlineStr">
        <is>
          <t>Raro</t>
        </is>
      </c>
      <c r="B13" s="22" t="n">
        <v>1</v>
      </c>
      <c r="C13" s="30" t="inlineStr">
        <is>
          <t xml:space="preserve">Amenaza 7  --  Activo 4 || Amenaza 10  --  Activo 10 || </t>
        </is>
      </c>
      <c r="D13" s="31" t="n"/>
      <c r="E13" s="32" t="n"/>
      <c r="F13" s="33" t="n"/>
      <c r="G13" s="34" t="n"/>
    </row>
  </sheetData>
  <mergeCells count="4">
    <mergeCell ref="C6:G6"/>
    <mergeCell ref="A5:G5"/>
    <mergeCell ref="B7:B8"/>
    <mergeCell ref="A7:A8"/>
  </mergeCells>
  <pageMargins left="0.75" right="0.75" top="1" bottom="1" header="0" footer="0"/>
  <pageSetup orientation="landscape"/>
  <drawing xmlns:r="http://schemas.openxmlformats.org/officeDocument/2006/relationships" r:id="rId1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>
    <tabColor rgb="FF0070C0"/>
    <outlinePr summaryBelow="1" summaryRight="1"/>
    <pageSetUpPr/>
  </sheetPr>
  <dimension ref="A1:A44"/>
  <sheetViews>
    <sheetView workbookViewId="0">
      <selection activeCell="G24" sqref="G24"/>
    </sheetView>
  </sheetViews>
  <sheetFormatPr baseColWidth="8" defaultColWidth="11.42578125" defaultRowHeight="12.75"/>
  <cols>
    <col width="87.5703125" customWidth="1" min="1" max="1"/>
  </cols>
  <sheetData>
    <row r="1">
      <c r="A1" s="173" t="inlineStr">
        <is>
          <t>RIESGOS ALTOS Considerando los controles actuales</t>
        </is>
      </c>
    </row>
    <row r="2">
      <c r="A2" s="227" t="n"/>
    </row>
    <row r="3">
      <c r="A3" s="1" t="n"/>
    </row>
    <row r="4">
      <c r="A4" s="1" t="n"/>
    </row>
    <row r="5">
      <c r="A5" s="1" t="n"/>
    </row>
    <row r="6">
      <c r="A6" s="1" t="n"/>
    </row>
    <row r="7">
      <c r="A7" s="1" t="n"/>
    </row>
    <row r="8">
      <c r="A8" s="1" t="n"/>
    </row>
    <row r="9">
      <c r="A9" s="1" t="n"/>
    </row>
    <row r="10">
      <c r="A10" s="1" t="n"/>
    </row>
    <row r="11">
      <c r="A11" s="1" t="n"/>
    </row>
    <row r="12">
      <c r="A12" s="1" t="n"/>
    </row>
    <row r="13">
      <c r="A13" s="1" t="n"/>
    </row>
    <row r="14">
      <c r="A14" s="1" t="n"/>
    </row>
    <row r="15">
      <c r="A15" s="1" t="n"/>
    </row>
    <row r="16">
      <c r="A16" s="1" t="n"/>
    </row>
    <row r="17">
      <c r="A17" s="1" t="n"/>
    </row>
    <row r="18">
      <c r="A18" s="1" t="n"/>
    </row>
    <row r="19">
      <c r="A19" s="1" t="n"/>
    </row>
    <row r="20">
      <c r="A20" s="1" t="n"/>
    </row>
    <row r="21">
      <c r="A21" s="1" t="n"/>
    </row>
    <row r="22">
      <c r="A22" s="1" t="n"/>
    </row>
    <row r="23">
      <c r="A23" s="1" t="n"/>
    </row>
    <row r="24">
      <c r="A24" s="1" t="n"/>
    </row>
    <row r="25">
      <c r="A25" s="1" t="n"/>
    </row>
    <row r="26">
      <c r="A26" s="1" t="n"/>
    </row>
    <row r="27">
      <c r="A27" s="1" t="n"/>
    </row>
    <row r="28">
      <c r="A28" s="1" t="n"/>
    </row>
    <row r="29">
      <c r="A29" s="1" t="n"/>
    </row>
    <row r="30">
      <c r="A30" s="1" t="n"/>
    </row>
    <row r="31">
      <c r="A31" s="1" t="n"/>
    </row>
    <row r="32">
      <c r="A32" s="1" t="n"/>
    </row>
    <row r="33">
      <c r="A33" s="1" t="n"/>
    </row>
    <row r="34">
      <c r="A34" s="1" t="n"/>
    </row>
    <row r="35">
      <c r="A35" s="1" t="n"/>
    </row>
    <row r="36">
      <c r="A36" s="1" t="n"/>
    </row>
    <row r="37">
      <c r="A37" s="1" t="n"/>
    </row>
    <row r="38">
      <c r="A38" s="1" t="n"/>
    </row>
    <row r="39">
      <c r="A39" s="1" t="n"/>
    </row>
    <row r="40">
      <c r="A40" s="1" t="n"/>
    </row>
    <row r="41">
      <c r="A41" s="1" t="n"/>
    </row>
    <row r="42">
      <c r="A42" s="1" t="n"/>
    </row>
    <row r="43">
      <c r="A43" s="1" t="n"/>
    </row>
    <row r="44">
      <c r="A44" s="1" t="n"/>
    </row>
  </sheetData>
  <mergeCells count="1">
    <mergeCell ref="A1:A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Hoja11">
    <tabColor theme="9" tint="-0.249977111117893"/>
    <outlinePr summaryBelow="1" summaryRight="1"/>
    <pageSetUpPr/>
  </sheetPr>
  <dimension ref="A1:N150"/>
  <sheetViews>
    <sheetView workbookViewId="0">
      <pane xSplit="1" ySplit="2" topLeftCell="B3" activePane="bottomRight" state="frozen"/>
      <selection pane="bottomRight" activeCell="G13" sqref="G13"/>
      <selection pane="bottomLeft" activeCell="A3" sqref="A3"/>
      <selection pane="topRight" activeCell="B1" sqref="B1"/>
    </sheetView>
  </sheetViews>
  <sheetFormatPr baseColWidth="8" defaultColWidth="11.42578125" defaultRowHeight="12.75"/>
  <cols>
    <col width="44.7109375" customWidth="1" min="1" max="1"/>
    <col width="4.5703125" customWidth="1" min="2" max="5"/>
    <col width="38" customWidth="1" min="6" max="8"/>
    <col width="43" customWidth="1" min="9" max="9"/>
    <col width="22.85546875" customWidth="1" min="10" max="10"/>
  </cols>
  <sheetData>
    <row r="1" ht="19.5" customHeight="1">
      <c r="A1" s="173" t="inlineStr">
        <is>
          <t>RIESGOS ALTOS Considerando los controles actuales</t>
        </is>
      </c>
      <c r="B1" s="176" t="inlineStr">
        <is>
          <t>TRATAMIENTO</t>
        </is>
      </c>
      <c r="C1" s="228" t="n"/>
      <c r="D1" s="228" t="n"/>
      <c r="E1" s="229" t="n"/>
      <c r="F1" s="230" t="inlineStr">
        <is>
          <t>Justificación del tratamiento</t>
        </is>
      </c>
      <c r="G1" s="230" t="inlineStr">
        <is>
          <t>Controles a implementar</t>
        </is>
      </c>
      <c r="H1" s="230" t="inlineStr">
        <is>
          <t>Prioridad de implementación</t>
        </is>
      </c>
      <c r="I1" s="177" t="inlineStr">
        <is>
          <t>Plan de monitoreo</t>
        </is>
      </c>
      <c r="J1" s="231" t="inlineStr">
        <is>
          <t>Responsable</t>
        </is>
      </c>
    </row>
    <row r="2" ht="56.25" customFormat="1" customHeight="1" s="104" thickBot="1">
      <c r="A2" s="227" t="n"/>
      <c r="B2" s="103" t="inlineStr">
        <is>
          <t>Aceptarlo</t>
        </is>
      </c>
      <c r="C2" s="103" t="inlineStr">
        <is>
          <t>Evitarlo</t>
        </is>
      </c>
      <c r="D2" s="103" t="inlineStr">
        <is>
          <t>Controlarlo</t>
        </is>
      </c>
      <c r="E2" s="103" t="inlineStr">
        <is>
          <t>Transferirlo</t>
        </is>
      </c>
      <c r="F2" s="232" t="n"/>
      <c r="G2" s="232" t="n"/>
      <c r="H2" s="232" t="n"/>
      <c r="I2" s="218" t="n"/>
      <c r="J2" s="232" t="n"/>
    </row>
    <row r="3">
      <c r="A3" s="55">
        <f>+'Lista de riesgos altos'!A3</f>
        <v/>
      </c>
      <c r="B3" s="56" t="n"/>
      <c r="C3" s="56" t="n"/>
      <c r="D3" s="56" t="n"/>
      <c r="E3" s="56" t="n"/>
      <c r="F3" s="56" t="n"/>
      <c r="G3" s="56" t="n"/>
      <c r="H3" s="56" t="n"/>
      <c r="I3" s="55" t="n"/>
      <c r="J3" s="57" t="n"/>
    </row>
    <row r="4">
      <c r="A4" s="55">
        <f>+'Lista de riesgos altos'!A4</f>
        <v/>
      </c>
      <c r="B4" s="59" t="n"/>
      <c r="C4" s="59" t="n"/>
      <c r="D4" s="59" t="n"/>
      <c r="E4" s="59" t="n"/>
      <c r="F4" s="59" t="n"/>
      <c r="G4" s="59" t="n"/>
      <c r="H4" s="56" t="n"/>
      <c r="I4" s="58" t="n"/>
      <c r="J4" s="60" t="n"/>
    </row>
    <row r="5">
      <c r="A5" s="55">
        <f>+'Lista de riesgos altos'!A5</f>
        <v/>
      </c>
      <c r="B5" s="59" t="n"/>
      <c r="C5" s="59" t="n"/>
      <c r="D5" s="59" t="n"/>
      <c r="E5" s="59" t="n"/>
      <c r="F5" s="59" t="n"/>
      <c r="G5" s="59" t="n"/>
      <c r="H5" s="56" t="n"/>
      <c r="I5" s="58" t="n"/>
      <c r="J5" s="60" t="n"/>
    </row>
    <row r="6">
      <c r="A6" s="55">
        <f>+'Lista de riesgos altos'!A6</f>
        <v/>
      </c>
      <c r="B6" s="59" t="n"/>
      <c r="C6" s="59" t="n"/>
      <c r="D6" s="59" t="n"/>
      <c r="E6" s="59" t="n"/>
      <c r="F6" s="59" t="n"/>
      <c r="G6" s="59" t="n"/>
      <c r="H6" s="56" t="n"/>
      <c r="I6" s="58" t="n"/>
      <c r="J6" s="60" t="n"/>
    </row>
    <row r="7">
      <c r="A7" s="55">
        <f>+'Lista de riesgos altos'!A7</f>
        <v/>
      </c>
      <c r="B7" s="59" t="n"/>
      <c r="C7" s="59" t="n"/>
      <c r="D7" s="59" t="n"/>
      <c r="E7" s="59" t="n"/>
      <c r="F7" s="59" t="n"/>
      <c r="G7" s="59" t="n"/>
      <c r="H7" s="56" t="n"/>
      <c r="I7" s="58" t="n"/>
      <c r="J7" s="60" t="n"/>
    </row>
    <row r="8">
      <c r="A8" s="55">
        <f>+'Lista de riesgos altos'!A8</f>
        <v/>
      </c>
      <c r="B8" s="59" t="n"/>
      <c r="C8" s="59" t="n"/>
      <c r="D8" s="59" t="n"/>
      <c r="E8" s="59" t="n"/>
      <c r="F8" s="59" t="n"/>
      <c r="G8" s="59" t="n"/>
      <c r="H8" s="56" t="n"/>
      <c r="I8" s="58" t="n"/>
      <c r="J8" s="60" t="n"/>
    </row>
    <row r="9">
      <c r="A9" s="55">
        <f>+'Lista de riesgos altos'!A9</f>
        <v/>
      </c>
      <c r="B9" s="59" t="n"/>
      <c r="C9" s="59" t="n"/>
      <c r="D9" s="59" t="n"/>
      <c r="E9" s="59" t="n"/>
      <c r="F9" s="59" t="n"/>
      <c r="G9" s="59" t="n"/>
      <c r="H9" s="56" t="n"/>
      <c r="I9" s="58" t="n"/>
      <c r="J9" s="60" t="n"/>
    </row>
    <row r="10">
      <c r="A10" s="55">
        <f>+'Lista de riesgos altos'!A10</f>
        <v/>
      </c>
      <c r="B10" s="59" t="n"/>
      <c r="C10" s="59" t="n"/>
      <c r="D10" s="59" t="n"/>
      <c r="E10" s="59" t="n"/>
      <c r="F10" s="59" t="n"/>
      <c r="G10" s="59" t="n"/>
      <c r="H10" s="56" t="n"/>
      <c r="I10" s="58" t="n"/>
      <c r="J10" s="60" t="n"/>
    </row>
    <row r="11">
      <c r="A11" s="55">
        <f>+'Lista de riesgos altos'!A11</f>
        <v/>
      </c>
      <c r="B11" s="59" t="n"/>
      <c r="C11" s="59" t="n"/>
      <c r="D11" s="59" t="n"/>
      <c r="E11" s="59" t="n"/>
      <c r="F11" s="59" t="n"/>
      <c r="G11" s="59" t="n"/>
      <c r="H11" s="56" t="n"/>
      <c r="I11" s="58" t="n"/>
      <c r="J11" s="60" t="n"/>
    </row>
    <row r="12">
      <c r="A12" s="55">
        <f>+'Lista de riesgos altos'!A12</f>
        <v/>
      </c>
      <c r="B12" s="59" t="n"/>
      <c r="C12" s="59" t="n"/>
      <c r="D12" s="59" t="n"/>
      <c r="E12" s="59" t="n"/>
      <c r="F12" s="59" t="n"/>
      <c r="G12" s="59" t="n"/>
      <c r="H12" s="56" t="n"/>
      <c r="I12" s="58" t="n"/>
      <c r="J12" s="60" t="n"/>
    </row>
    <row r="13">
      <c r="A13" s="55">
        <f>+'Lista de riesgos altos'!A13</f>
        <v/>
      </c>
      <c r="B13" s="59" t="n"/>
      <c r="C13" s="59" t="n"/>
      <c r="D13" s="59" t="n"/>
      <c r="E13" s="59" t="n"/>
      <c r="F13" s="59" t="n"/>
      <c r="G13" s="59" t="n"/>
      <c r="H13" s="56" t="n"/>
      <c r="I13" s="58" t="n"/>
      <c r="J13" s="60" t="n"/>
    </row>
    <row r="14">
      <c r="A14" s="55">
        <f>+'Lista de riesgos altos'!A14</f>
        <v/>
      </c>
      <c r="B14" s="59" t="n"/>
      <c r="C14" s="59" t="n"/>
      <c r="D14" s="59" t="n"/>
      <c r="E14" s="59" t="n"/>
      <c r="F14" s="59" t="n"/>
      <c r="G14" s="59" t="n"/>
      <c r="H14" s="56" t="n"/>
      <c r="I14" s="58" t="n"/>
      <c r="J14" s="60" t="n"/>
    </row>
    <row r="15">
      <c r="A15" s="55">
        <f>+'Lista de riesgos altos'!A15</f>
        <v/>
      </c>
      <c r="B15" s="59" t="n"/>
      <c r="C15" s="59" t="n"/>
      <c r="D15" s="59" t="n"/>
      <c r="E15" s="59" t="n"/>
      <c r="F15" s="59" t="n"/>
      <c r="G15" s="59" t="n"/>
      <c r="H15" s="56" t="n"/>
      <c r="I15" s="58" t="n"/>
      <c r="J15" s="60" t="n"/>
    </row>
    <row r="16">
      <c r="A16" s="55">
        <f>+'Lista de riesgos altos'!A16</f>
        <v/>
      </c>
      <c r="B16" s="59" t="n"/>
      <c r="C16" s="59" t="n"/>
      <c r="D16" s="59" t="n"/>
      <c r="E16" s="59" t="n"/>
      <c r="F16" s="59" t="n"/>
      <c r="G16" s="59" t="n"/>
      <c r="H16" s="56" t="n"/>
      <c r="I16" s="58" t="n"/>
      <c r="J16" s="60" t="n"/>
    </row>
    <row r="17">
      <c r="A17" s="55">
        <f>+'Lista de riesgos altos'!A17</f>
        <v/>
      </c>
      <c r="B17" s="59" t="n"/>
      <c r="C17" s="59" t="n"/>
      <c r="D17" s="59" t="n"/>
      <c r="E17" s="59" t="n"/>
      <c r="F17" s="59" t="n"/>
      <c r="G17" s="59" t="n"/>
      <c r="H17" s="56" t="n"/>
      <c r="I17" s="58" t="n"/>
      <c r="J17" s="60" t="n"/>
    </row>
    <row r="18">
      <c r="A18" s="55">
        <f>+'Lista de riesgos altos'!A18</f>
        <v/>
      </c>
      <c r="B18" s="59" t="n"/>
      <c r="C18" s="59" t="n"/>
      <c r="D18" s="59" t="n"/>
      <c r="E18" s="59" t="n"/>
      <c r="F18" s="59" t="n"/>
      <c r="G18" s="59" t="n"/>
      <c r="H18" s="56" t="n"/>
      <c r="I18" s="58" t="n"/>
      <c r="J18" s="60" t="n"/>
    </row>
    <row r="19">
      <c r="A19" s="55">
        <f>+'Lista de riesgos altos'!A19</f>
        <v/>
      </c>
      <c r="B19" s="59" t="n"/>
      <c r="C19" s="59" t="n"/>
      <c r="D19" s="59" t="n"/>
      <c r="E19" s="59" t="n"/>
      <c r="F19" s="59" t="n"/>
      <c r="G19" s="59" t="n"/>
      <c r="H19" s="56" t="n"/>
      <c r="I19" s="58" t="n"/>
      <c r="J19" s="60" t="n"/>
    </row>
    <row r="20">
      <c r="A20" s="55">
        <f>+'Lista de riesgos altos'!A20</f>
        <v/>
      </c>
      <c r="B20" s="59" t="n"/>
      <c r="C20" s="59" t="n"/>
      <c r="D20" s="59" t="n"/>
      <c r="E20" s="59" t="n"/>
      <c r="F20" s="59" t="n"/>
      <c r="G20" s="59" t="n"/>
      <c r="H20" s="56" t="n"/>
      <c r="I20" s="58" t="n"/>
      <c r="J20" s="60" t="n"/>
    </row>
    <row r="21">
      <c r="A21" s="55">
        <f>+'Lista de riesgos altos'!A21</f>
        <v/>
      </c>
      <c r="B21" s="59" t="n"/>
      <c r="C21" s="59" t="n"/>
      <c r="D21" s="59" t="n"/>
      <c r="E21" s="59" t="n"/>
      <c r="F21" s="59" t="n"/>
      <c r="G21" s="59" t="n"/>
      <c r="H21" s="56" t="n"/>
      <c r="I21" s="58" t="n"/>
      <c r="J21" s="60" t="n"/>
    </row>
    <row r="22">
      <c r="A22" s="55">
        <f>+'Lista de riesgos altos'!A22</f>
        <v/>
      </c>
      <c r="B22" s="59" t="n"/>
      <c r="C22" s="59" t="n"/>
      <c r="D22" s="59" t="n"/>
      <c r="E22" s="59" t="n"/>
      <c r="F22" s="59" t="n"/>
      <c r="G22" s="59" t="n"/>
      <c r="H22" s="56" t="n"/>
      <c r="I22" s="58" t="n"/>
      <c r="J22" s="60" t="n"/>
    </row>
    <row r="23">
      <c r="A23" s="55">
        <f>+'Lista de riesgos altos'!A23</f>
        <v/>
      </c>
      <c r="B23" s="59" t="n"/>
      <c r="C23" s="59" t="n"/>
      <c r="D23" s="59" t="n"/>
      <c r="E23" s="59" t="n"/>
      <c r="F23" s="59" t="n"/>
      <c r="G23" s="59" t="n"/>
      <c r="H23" s="56" t="n"/>
      <c r="I23" s="58" t="n"/>
      <c r="J23" s="60" t="n"/>
    </row>
    <row r="24">
      <c r="A24" s="55">
        <f>+'Lista de riesgos altos'!A24</f>
        <v/>
      </c>
      <c r="B24" s="59" t="n"/>
      <c r="C24" s="59" t="n"/>
      <c r="D24" s="59" t="n"/>
      <c r="E24" s="59" t="n"/>
      <c r="F24" s="59" t="n"/>
      <c r="G24" s="59" t="n"/>
      <c r="H24" s="56" t="n"/>
      <c r="I24" s="58" t="n"/>
      <c r="J24" s="60" t="n"/>
    </row>
    <row r="25">
      <c r="A25" s="55">
        <f>+'Lista de riesgos altos'!A25</f>
        <v/>
      </c>
      <c r="B25" s="59" t="n"/>
      <c r="C25" s="59" t="n"/>
      <c r="D25" s="59" t="n"/>
      <c r="E25" s="59" t="n"/>
      <c r="F25" s="59" t="n"/>
      <c r="G25" s="59" t="n"/>
      <c r="H25" s="56" t="n"/>
      <c r="I25" s="58" t="n"/>
      <c r="J25" s="60" t="n"/>
    </row>
    <row r="26">
      <c r="A26" s="55">
        <f>+'Lista de riesgos altos'!A26</f>
        <v/>
      </c>
      <c r="B26" s="59" t="n"/>
      <c r="C26" s="59" t="n"/>
      <c r="D26" s="59" t="n"/>
      <c r="E26" s="59" t="n"/>
      <c r="F26" s="59" t="n"/>
      <c r="G26" s="59" t="n"/>
      <c r="H26" s="56" t="n"/>
      <c r="I26" s="58" t="n"/>
      <c r="J26" s="60" t="n"/>
    </row>
    <row r="27">
      <c r="A27" s="55">
        <f>+'Lista de riesgos altos'!A27</f>
        <v/>
      </c>
      <c r="B27" s="59" t="n"/>
      <c r="C27" s="59" t="n"/>
      <c r="D27" s="59" t="n"/>
      <c r="E27" s="59" t="n"/>
      <c r="F27" s="59" t="n"/>
      <c r="G27" s="59" t="n"/>
      <c r="H27" s="56" t="n"/>
      <c r="I27" s="58" t="n"/>
      <c r="J27" s="60" t="n"/>
    </row>
    <row r="28">
      <c r="A28" s="55">
        <f>+'Lista de riesgos altos'!A28</f>
        <v/>
      </c>
      <c r="B28" s="59" t="n"/>
      <c r="C28" s="59" t="n"/>
      <c r="D28" s="59" t="n"/>
      <c r="E28" s="59" t="n"/>
      <c r="F28" s="59" t="n"/>
      <c r="G28" s="59" t="n"/>
      <c r="H28" s="56" t="n"/>
      <c r="I28" s="58" t="n"/>
      <c r="J28" s="60" t="n"/>
    </row>
    <row r="29">
      <c r="A29" s="55">
        <f>+'Lista de riesgos altos'!A29</f>
        <v/>
      </c>
      <c r="B29" s="59" t="n"/>
      <c r="C29" s="59" t="n"/>
      <c r="D29" s="59" t="n"/>
      <c r="E29" s="59" t="n"/>
      <c r="F29" s="59" t="n"/>
      <c r="G29" s="59" t="n"/>
      <c r="H29" s="56" t="n"/>
      <c r="I29" s="58" t="n"/>
      <c r="J29" s="60" t="n"/>
    </row>
    <row r="30">
      <c r="A30" s="55">
        <f>+'Lista de riesgos altos'!A30</f>
        <v/>
      </c>
      <c r="B30" s="59" t="n"/>
      <c r="C30" s="59" t="n"/>
      <c r="D30" s="59" t="n"/>
      <c r="E30" s="59" t="n"/>
      <c r="F30" s="59" t="n"/>
      <c r="G30" s="59" t="n"/>
      <c r="H30" s="56" t="n"/>
      <c r="I30" s="58" t="n"/>
      <c r="J30" s="60" t="n"/>
    </row>
    <row r="31">
      <c r="A31" s="55">
        <f>+'Lista de riesgos altos'!A31</f>
        <v/>
      </c>
      <c r="B31" s="59" t="n"/>
      <c r="C31" s="59" t="n"/>
      <c r="D31" s="59" t="n"/>
      <c r="E31" s="59" t="n"/>
      <c r="F31" s="59" t="n"/>
      <c r="G31" s="59" t="n"/>
      <c r="H31" s="56" t="n"/>
      <c r="I31" s="58" t="n"/>
      <c r="J31" s="60" t="n"/>
    </row>
    <row r="32">
      <c r="A32" s="55">
        <f>+'Lista de riesgos altos'!A32</f>
        <v/>
      </c>
      <c r="B32" s="59" t="n"/>
      <c r="C32" s="59" t="n"/>
      <c r="D32" s="59" t="n"/>
      <c r="E32" s="59" t="n"/>
      <c r="F32" s="59" t="n"/>
      <c r="G32" s="59" t="n"/>
      <c r="H32" s="56" t="n"/>
      <c r="I32" s="58" t="n"/>
      <c r="J32" s="60" t="n"/>
      <c r="N32" t="inlineStr">
        <is>
          <t>l</t>
        </is>
      </c>
    </row>
    <row r="33">
      <c r="A33" s="55">
        <f>+'Lista de riesgos altos'!A33</f>
        <v/>
      </c>
      <c r="B33" s="59" t="n"/>
      <c r="C33" s="59" t="n"/>
      <c r="D33" s="59" t="n"/>
      <c r="E33" s="59" t="n"/>
      <c r="F33" s="59" t="n"/>
      <c r="G33" s="59" t="n"/>
      <c r="H33" s="56" t="n"/>
      <c r="I33" s="58" t="n"/>
      <c r="J33" s="60" t="n"/>
    </row>
    <row r="34">
      <c r="A34" s="55">
        <f>+'Lista de riesgos altos'!A34</f>
        <v/>
      </c>
      <c r="B34" s="59" t="n"/>
      <c r="C34" s="59" t="n"/>
      <c r="D34" s="59" t="n"/>
      <c r="E34" s="59" t="n"/>
      <c r="F34" s="59" t="n"/>
      <c r="G34" s="59" t="n"/>
      <c r="H34" s="56" t="n"/>
      <c r="I34" s="58" t="n"/>
      <c r="J34" s="60" t="n"/>
    </row>
    <row r="35">
      <c r="A35" s="55">
        <f>+'Lista de riesgos altos'!A35</f>
        <v/>
      </c>
      <c r="B35" s="60" t="n"/>
      <c r="C35" s="61" t="n"/>
      <c r="D35" s="62" t="n"/>
      <c r="E35" s="61" t="n"/>
      <c r="F35" s="61" t="n"/>
      <c r="G35" s="61" t="n"/>
      <c r="H35" s="56" t="n"/>
      <c r="I35" s="58" t="n"/>
      <c r="J35" s="58" t="n"/>
    </row>
    <row r="36">
      <c r="A36" s="55">
        <f>+'Lista de riesgos altos'!A36</f>
        <v/>
      </c>
      <c r="B36" s="60" t="n"/>
      <c r="C36" s="61" t="n"/>
      <c r="D36" s="62" t="n"/>
      <c r="E36" s="61" t="n"/>
      <c r="F36" s="61" t="n"/>
      <c r="G36" s="61" t="n"/>
      <c r="H36" s="56" t="n"/>
      <c r="I36" s="58" t="n"/>
      <c r="J36" s="58" t="n"/>
    </row>
    <row r="37">
      <c r="A37" s="55">
        <f>+'Lista de riesgos altos'!A37</f>
        <v/>
      </c>
      <c r="B37" s="60" t="n"/>
      <c r="C37" s="61" t="n"/>
      <c r="D37" s="62" t="n"/>
      <c r="E37" s="61" t="n"/>
      <c r="F37" s="61" t="n"/>
      <c r="G37" s="61" t="n"/>
      <c r="H37" s="56" t="n"/>
      <c r="I37" s="58" t="n"/>
      <c r="J37" s="58" t="n"/>
    </row>
    <row r="38">
      <c r="A38" s="55">
        <f>+'Lista de riesgos altos'!A38</f>
        <v/>
      </c>
      <c r="B38" s="60" t="n"/>
      <c r="C38" s="61" t="n"/>
      <c r="D38" s="62" t="n"/>
      <c r="E38" s="61" t="n"/>
      <c r="F38" s="61" t="n"/>
      <c r="G38" s="61" t="n"/>
      <c r="H38" s="56" t="n"/>
      <c r="I38" s="58" t="n"/>
      <c r="J38" s="58" t="n"/>
    </row>
    <row r="39">
      <c r="A39" s="55">
        <f>+'Lista de riesgos altos'!A39</f>
        <v/>
      </c>
      <c r="B39" s="60" t="n"/>
      <c r="C39" s="61" t="n"/>
      <c r="D39" s="62" t="n"/>
      <c r="E39" s="61" t="n"/>
      <c r="F39" s="61" t="n"/>
      <c r="G39" s="61" t="n"/>
      <c r="H39" s="56" t="n"/>
      <c r="I39" s="58" t="n"/>
      <c r="J39" s="58" t="n"/>
    </row>
    <row r="40">
      <c r="A40" s="55">
        <f>+'Lista de riesgos altos'!A40</f>
        <v/>
      </c>
      <c r="B40" s="60" t="n"/>
      <c r="C40" s="61" t="n"/>
      <c r="D40" s="62" t="n"/>
      <c r="E40" s="61" t="n"/>
      <c r="F40" s="61" t="n"/>
      <c r="G40" s="61" t="n"/>
      <c r="H40" s="56" t="n"/>
      <c r="I40" s="58" t="n"/>
      <c r="J40" s="58" t="n"/>
    </row>
    <row r="41">
      <c r="A41" s="55">
        <f>+'Lista de riesgos altos'!A41</f>
        <v/>
      </c>
      <c r="B41" s="60" t="n"/>
      <c r="C41" s="61" t="n"/>
      <c r="D41" s="62" t="n"/>
      <c r="E41" s="61" t="n"/>
      <c r="F41" s="61" t="n"/>
      <c r="G41" s="61" t="n"/>
      <c r="H41" s="56" t="n"/>
      <c r="I41" s="58" t="n"/>
      <c r="J41" s="58" t="n"/>
    </row>
    <row r="42">
      <c r="A42" s="55">
        <f>+'Lista de riesgos altos'!A42</f>
        <v/>
      </c>
      <c r="B42" s="60" t="n"/>
      <c r="C42" s="61" t="n"/>
      <c r="D42" s="62" t="n"/>
      <c r="E42" s="61" t="n"/>
      <c r="F42" s="61" t="n"/>
      <c r="G42" s="61" t="n"/>
      <c r="H42" s="56" t="n"/>
      <c r="I42" s="58" t="n"/>
      <c r="J42" s="58" t="n"/>
    </row>
    <row r="43">
      <c r="A43" s="55">
        <f>+'Lista de riesgos altos'!A43</f>
        <v/>
      </c>
      <c r="B43" s="60" t="n"/>
      <c r="C43" s="61" t="n"/>
      <c r="D43" s="62" t="n"/>
      <c r="E43" s="61" t="n"/>
      <c r="F43" s="61" t="n"/>
      <c r="G43" s="61" t="n"/>
      <c r="H43" s="56" t="n"/>
      <c r="I43" s="58" t="n"/>
      <c r="J43" s="58" t="n"/>
    </row>
    <row r="44">
      <c r="A44" s="55">
        <f>+'Lista de riesgos altos'!A44</f>
        <v/>
      </c>
      <c r="B44" s="60" t="n"/>
      <c r="C44" s="61" t="n"/>
      <c r="D44" s="62" t="n"/>
      <c r="E44" s="61" t="n"/>
      <c r="F44" s="61" t="n"/>
      <c r="G44" s="61" t="n"/>
      <c r="H44" s="56" t="n"/>
      <c r="I44" s="58" t="n"/>
      <c r="J44" s="58" t="n"/>
    </row>
    <row r="45">
      <c r="A45" s="55">
        <f>+'Lista de riesgos altos'!A45</f>
        <v/>
      </c>
      <c r="B45" s="60" t="n"/>
      <c r="C45" s="61" t="n"/>
      <c r="D45" s="62" t="n"/>
      <c r="E45" s="61" t="n"/>
      <c r="F45" s="61" t="n"/>
      <c r="G45" s="61" t="n"/>
      <c r="H45" s="56" t="n"/>
      <c r="I45" s="58" t="n"/>
      <c r="J45" s="58" t="n"/>
    </row>
    <row r="46">
      <c r="A46" s="55">
        <f>+'Lista de riesgos altos'!A46</f>
        <v/>
      </c>
      <c r="B46" s="60" t="n"/>
      <c r="C46" s="61" t="n"/>
      <c r="D46" s="60" t="n"/>
      <c r="E46" s="61" t="n"/>
      <c r="F46" s="61" t="n"/>
      <c r="G46" s="61" t="n"/>
      <c r="H46" s="56" t="n"/>
      <c r="I46" s="58" t="n"/>
      <c r="J46" s="58" t="n"/>
    </row>
    <row r="47">
      <c r="A47" s="55">
        <f>+'Lista de riesgos altos'!A47</f>
        <v/>
      </c>
      <c r="B47" s="60" t="n"/>
      <c r="C47" s="61" t="n"/>
      <c r="D47" s="60" t="n"/>
      <c r="E47" s="61" t="n"/>
      <c r="F47" s="61" t="n"/>
      <c r="G47" s="61" t="n"/>
      <c r="H47" s="56" t="n"/>
      <c r="I47" s="58" t="n"/>
      <c r="J47" s="58" t="n"/>
    </row>
    <row r="48">
      <c r="A48" s="55">
        <f>+'Lista de riesgos altos'!A48</f>
        <v/>
      </c>
      <c r="B48" s="60" t="n"/>
      <c r="C48" s="61" t="n"/>
      <c r="D48" s="60" t="n"/>
      <c r="E48" s="61" t="n"/>
      <c r="F48" s="61" t="n"/>
      <c r="G48" s="61" t="n"/>
      <c r="H48" s="56" t="n"/>
      <c r="I48" s="58" t="n"/>
      <c r="J48" s="58" t="n"/>
    </row>
    <row r="49">
      <c r="A49" s="55">
        <f>+'Lista de riesgos altos'!A49</f>
        <v/>
      </c>
      <c r="B49" s="60" t="n"/>
      <c r="C49" s="61" t="n"/>
      <c r="D49" s="61" t="n"/>
      <c r="E49" s="61" t="n"/>
      <c r="F49" s="61" t="n"/>
      <c r="G49" s="61" t="n"/>
      <c r="H49" s="56" t="n"/>
      <c r="I49" s="58" t="n"/>
      <c r="J49" s="58" t="n"/>
    </row>
    <row r="50">
      <c r="A50" s="55">
        <f>+'Lista de riesgos altos'!A50</f>
        <v/>
      </c>
      <c r="B50" s="60" t="n"/>
      <c r="C50" s="61" t="n"/>
      <c r="D50" s="61" t="n"/>
      <c r="E50" s="61" t="n"/>
      <c r="F50" s="61" t="n"/>
      <c r="G50" s="61" t="n"/>
      <c r="H50" s="56" t="n"/>
      <c r="I50" s="58" t="n"/>
      <c r="J50" s="58" t="n"/>
    </row>
    <row r="51">
      <c r="A51" s="55">
        <f>+'Lista de riesgos altos'!A51</f>
        <v/>
      </c>
      <c r="B51" s="60" t="n"/>
      <c r="C51" s="61" t="n"/>
      <c r="D51" s="61" t="n"/>
      <c r="E51" s="61" t="n"/>
      <c r="F51" s="61" t="n"/>
      <c r="G51" s="61" t="n"/>
      <c r="H51" s="56" t="n"/>
      <c r="I51" s="58" t="n"/>
      <c r="J51" s="58" t="n"/>
    </row>
    <row r="52">
      <c r="A52" s="55">
        <f>+'Lista de riesgos altos'!A52</f>
        <v/>
      </c>
      <c r="B52" s="60" t="n"/>
      <c r="C52" s="61" t="n"/>
      <c r="D52" s="61" t="n"/>
      <c r="E52" s="61" t="n"/>
      <c r="F52" s="61" t="n"/>
      <c r="G52" s="61" t="n"/>
      <c r="H52" s="56" t="n"/>
      <c r="I52" s="58" t="n"/>
      <c r="J52" s="58" t="n"/>
    </row>
    <row r="53">
      <c r="A53" s="55">
        <f>+'Lista de riesgos altos'!A53</f>
        <v/>
      </c>
      <c r="B53" s="60" t="n"/>
      <c r="C53" s="61" t="n"/>
      <c r="D53" s="61" t="n"/>
      <c r="E53" s="61" t="n"/>
      <c r="F53" s="61" t="n"/>
      <c r="G53" s="61" t="n"/>
      <c r="H53" s="56" t="n"/>
      <c r="I53" s="58" t="n"/>
      <c r="J53" s="58" t="n"/>
    </row>
    <row r="54">
      <c r="A54" s="55">
        <f>+'Lista de riesgos altos'!A54</f>
        <v/>
      </c>
      <c r="B54" s="60" t="n"/>
      <c r="C54" s="61" t="n"/>
      <c r="D54" s="61" t="n"/>
      <c r="E54" s="61" t="n"/>
      <c r="F54" s="61" t="n"/>
      <c r="G54" s="61" t="n"/>
      <c r="H54" s="56" t="n"/>
      <c r="I54" s="58" t="n"/>
      <c r="J54" s="58" t="n"/>
    </row>
    <row r="55">
      <c r="A55" s="55">
        <f>+'Lista de riesgos altos'!A55</f>
        <v/>
      </c>
      <c r="B55" s="60" t="n"/>
      <c r="C55" s="61" t="n"/>
      <c r="D55" s="61" t="n"/>
      <c r="E55" s="61" t="n"/>
      <c r="F55" s="61" t="n"/>
      <c r="G55" s="61" t="n"/>
      <c r="H55" s="56" t="n"/>
      <c r="I55" s="58" t="n"/>
      <c r="J55" s="58" t="n"/>
    </row>
    <row r="56">
      <c r="A56" s="55">
        <f>+'Lista de riesgos altos'!A56</f>
        <v/>
      </c>
      <c r="B56" s="60" t="n"/>
      <c r="C56" s="61" t="n"/>
      <c r="D56" s="61" t="n"/>
      <c r="E56" s="61" t="n"/>
      <c r="F56" s="61" t="n"/>
      <c r="G56" s="61" t="n"/>
      <c r="H56" s="56" t="n"/>
      <c r="I56" s="58" t="n"/>
      <c r="J56" s="58" t="n"/>
    </row>
    <row r="57">
      <c r="A57" s="55">
        <f>+'Lista de riesgos altos'!A57</f>
        <v/>
      </c>
      <c r="B57" s="60" t="n"/>
      <c r="C57" s="61" t="n"/>
      <c r="D57" s="61" t="n"/>
      <c r="E57" s="61" t="n"/>
      <c r="F57" s="61" t="n"/>
      <c r="G57" s="61" t="n"/>
      <c r="H57" s="56" t="n"/>
      <c r="I57" s="58" t="n"/>
      <c r="J57" s="58" t="n"/>
    </row>
    <row r="58">
      <c r="A58" s="55">
        <f>+'Lista de riesgos altos'!A58</f>
        <v/>
      </c>
      <c r="B58" s="60" t="n"/>
      <c r="C58" s="61" t="n"/>
      <c r="D58" s="61" t="n"/>
      <c r="E58" s="61" t="n"/>
      <c r="F58" s="61" t="n"/>
      <c r="G58" s="61" t="n"/>
      <c r="H58" s="56" t="n"/>
      <c r="I58" s="58" t="n"/>
      <c r="J58" s="58" t="n"/>
    </row>
    <row r="59">
      <c r="A59" s="55">
        <f>+'Lista de riesgos altos'!A59</f>
        <v/>
      </c>
      <c r="B59" s="60" t="n"/>
      <c r="C59" s="61" t="n"/>
      <c r="D59" s="61" t="n"/>
      <c r="E59" s="61" t="n"/>
      <c r="F59" s="61" t="n"/>
      <c r="G59" s="61" t="n"/>
      <c r="H59" s="56" t="n"/>
      <c r="I59" s="58" t="n"/>
      <c r="J59" s="58" t="n"/>
    </row>
    <row r="60">
      <c r="A60" s="55">
        <f>+'Lista de riesgos altos'!A60</f>
        <v/>
      </c>
      <c r="B60" s="60" t="n"/>
      <c r="C60" s="61" t="n"/>
      <c r="D60" s="61" t="n"/>
      <c r="E60" s="61" t="n"/>
      <c r="F60" s="61" t="n"/>
      <c r="G60" s="61" t="n"/>
      <c r="H60" s="56" t="n"/>
      <c r="I60" s="58" t="n"/>
      <c r="J60" s="58" t="n"/>
    </row>
    <row r="61">
      <c r="A61" s="55">
        <f>+'Lista de riesgos altos'!A61</f>
        <v/>
      </c>
      <c r="B61" s="63" t="n"/>
      <c r="C61" s="61" t="n"/>
      <c r="D61" s="61" t="n"/>
      <c r="E61" s="61" t="n"/>
      <c r="F61" s="61" t="n"/>
      <c r="G61" s="61" t="n"/>
      <c r="H61" s="56" t="n"/>
      <c r="I61" s="58" t="n"/>
      <c r="J61" s="58" t="n"/>
    </row>
    <row r="62">
      <c r="A62" s="55">
        <f>+'Lista de riesgos altos'!A62</f>
        <v/>
      </c>
      <c r="B62" s="63" t="n"/>
      <c r="C62" s="61" t="n"/>
      <c r="D62" s="61" t="n"/>
      <c r="E62" s="61" t="n"/>
      <c r="F62" s="61" t="n"/>
      <c r="G62" s="61" t="n"/>
      <c r="H62" s="56" t="n"/>
      <c r="I62" s="58" t="n"/>
      <c r="J62" s="58" t="n"/>
    </row>
    <row r="63">
      <c r="A63" s="55">
        <f>+'Lista de riesgos altos'!A63</f>
        <v/>
      </c>
      <c r="B63" s="63" t="n"/>
      <c r="C63" s="61" t="n"/>
      <c r="D63" s="61" t="n"/>
      <c r="E63" s="61" t="n"/>
      <c r="F63" s="61" t="n"/>
      <c r="G63" s="61" t="n"/>
      <c r="H63" s="56" t="n"/>
      <c r="I63" s="58" t="n"/>
      <c r="J63" s="58" t="n"/>
    </row>
    <row r="64">
      <c r="A64" s="55">
        <f>+'Lista de riesgos altos'!A64</f>
        <v/>
      </c>
      <c r="B64" s="63" t="n"/>
      <c r="C64" s="61" t="n"/>
      <c r="D64" s="61" t="n"/>
      <c r="E64" s="61" t="n"/>
      <c r="F64" s="61" t="n"/>
      <c r="G64" s="61" t="n"/>
      <c r="H64" s="56" t="n"/>
      <c r="I64" s="58" t="n"/>
      <c r="J64" s="58" t="n"/>
    </row>
    <row r="65">
      <c r="A65" s="55">
        <f>+'Lista de riesgos altos'!A65</f>
        <v/>
      </c>
      <c r="B65" s="63" t="n"/>
      <c r="C65" s="61" t="n"/>
      <c r="D65" s="61" t="n"/>
      <c r="E65" s="61" t="n"/>
      <c r="F65" s="61" t="n"/>
      <c r="G65" s="61" t="n"/>
      <c r="H65" s="56" t="n"/>
      <c r="I65" s="58" t="n"/>
      <c r="J65" s="58" t="n"/>
    </row>
    <row r="66">
      <c r="A66" s="55">
        <f>+'Lista de riesgos altos'!A66</f>
        <v/>
      </c>
      <c r="B66" s="63" t="n"/>
      <c r="C66" s="61" t="n"/>
      <c r="D66" s="61" t="n"/>
      <c r="E66" s="61" t="n"/>
      <c r="F66" s="61" t="n"/>
      <c r="G66" s="61" t="n"/>
      <c r="H66" s="56" t="n"/>
      <c r="I66" s="58" t="n"/>
      <c r="J66" s="58" t="n"/>
    </row>
    <row r="67">
      <c r="A67" s="55">
        <f>+'Lista de riesgos altos'!A67</f>
        <v/>
      </c>
      <c r="B67" s="61" t="n"/>
      <c r="C67" s="61" t="n"/>
      <c r="D67" s="61" t="n"/>
      <c r="E67" s="61" t="n"/>
      <c r="F67" s="61" t="n"/>
      <c r="G67" s="61" t="n"/>
      <c r="H67" s="56" t="n"/>
      <c r="I67" s="58" t="n"/>
      <c r="J67" s="58" t="n"/>
    </row>
    <row r="68">
      <c r="A68" s="55">
        <f>+'Lista de riesgos altos'!A68</f>
        <v/>
      </c>
      <c r="B68" s="61" t="n"/>
      <c r="C68" s="61" t="n"/>
      <c r="D68" s="61" t="n"/>
      <c r="E68" s="61" t="n"/>
      <c r="F68" s="61" t="n"/>
      <c r="G68" s="61" t="n"/>
      <c r="H68" s="56" t="n"/>
      <c r="I68" s="58" t="n"/>
      <c r="J68" s="58" t="n"/>
    </row>
    <row r="69">
      <c r="A69" s="55">
        <f>+'Lista de riesgos altos'!A69</f>
        <v/>
      </c>
      <c r="B69" s="61" t="n"/>
      <c r="C69" s="61" t="n"/>
      <c r="D69" s="61" t="n"/>
      <c r="E69" s="61" t="n"/>
      <c r="F69" s="61" t="n"/>
      <c r="G69" s="61" t="n"/>
      <c r="H69" s="56" t="n"/>
      <c r="I69" s="58" t="n"/>
      <c r="J69" s="58" t="n"/>
    </row>
    <row r="70">
      <c r="A70" s="55">
        <f>+'Lista de riesgos altos'!A70</f>
        <v/>
      </c>
      <c r="B70" s="61" t="n"/>
      <c r="C70" s="61" t="n"/>
      <c r="D70" s="61" t="n"/>
      <c r="E70" s="61" t="n"/>
      <c r="F70" s="61" t="n"/>
      <c r="G70" s="61" t="n"/>
      <c r="H70" s="56" t="n"/>
      <c r="I70" s="58" t="n"/>
      <c r="J70" s="58" t="n"/>
    </row>
    <row r="71">
      <c r="A71" s="55">
        <f>+'Lista de riesgos altos'!A71</f>
        <v/>
      </c>
      <c r="B71" s="61" t="n"/>
      <c r="C71" s="61" t="n"/>
      <c r="D71" s="61" t="n"/>
      <c r="E71" s="61" t="n"/>
      <c r="F71" s="61" t="n"/>
      <c r="G71" s="61" t="n"/>
      <c r="H71" s="56" t="n"/>
      <c r="I71" s="58" t="n"/>
      <c r="J71" s="58" t="n"/>
    </row>
    <row r="72">
      <c r="A72" s="55">
        <f>+'Lista de riesgos altos'!A72</f>
        <v/>
      </c>
      <c r="B72" s="64" t="n"/>
      <c r="C72" s="61" t="n"/>
      <c r="D72" s="61" t="n"/>
      <c r="E72" s="61" t="n"/>
      <c r="F72" s="61" t="n"/>
      <c r="G72" s="61" t="n"/>
      <c r="H72" s="56" t="n"/>
      <c r="I72" s="58" t="n"/>
      <c r="J72" s="58" t="n"/>
    </row>
    <row r="73">
      <c r="A73" s="55">
        <f>+'Lista de riesgos altos'!A73</f>
        <v/>
      </c>
      <c r="B73" s="64" t="n"/>
      <c r="C73" s="61" t="n"/>
      <c r="D73" s="61" t="n"/>
      <c r="E73" s="61" t="n"/>
      <c r="F73" s="61" t="n"/>
      <c r="G73" s="61" t="n"/>
      <c r="H73" s="56" t="n"/>
      <c r="I73" s="58" t="n"/>
      <c r="J73" s="58" t="n"/>
    </row>
    <row r="74">
      <c r="A74" s="55">
        <f>+'Lista de riesgos altos'!A74</f>
        <v/>
      </c>
      <c r="B74" s="64" t="n"/>
      <c r="C74" s="61" t="n"/>
      <c r="D74" s="61" t="n"/>
      <c r="E74" s="61" t="n"/>
      <c r="F74" s="61" t="n"/>
      <c r="G74" s="61" t="n"/>
      <c r="H74" s="56" t="n"/>
      <c r="I74" s="58" t="n"/>
      <c r="J74" s="58" t="n"/>
    </row>
    <row r="75">
      <c r="A75" s="55">
        <f>+'Lista de riesgos altos'!A75</f>
        <v/>
      </c>
      <c r="B75" s="64" t="n"/>
      <c r="C75" s="61" t="n"/>
      <c r="D75" s="61" t="n"/>
      <c r="E75" s="61" t="n"/>
      <c r="F75" s="61" t="n"/>
      <c r="G75" s="61" t="n"/>
      <c r="H75" s="56" t="n"/>
      <c r="I75" s="58" t="n"/>
      <c r="J75" s="58" t="n"/>
    </row>
    <row r="76">
      <c r="A76" s="55">
        <f>+'Lista de riesgos altos'!A76</f>
        <v/>
      </c>
      <c r="B76" s="64" t="n"/>
      <c r="C76" s="61" t="n"/>
      <c r="D76" s="61" t="n"/>
      <c r="E76" s="61" t="n"/>
      <c r="F76" s="61" t="n"/>
      <c r="G76" s="61" t="n"/>
      <c r="H76" s="56" t="n"/>
      <c r="I76" s="58" t="n"/>
      <c r="J76" s="58" t="n"/>
    </row>
    <row r="77">
      <c r="A77" s="55">
        <f>+'Lista de riesgos altos'!A77</f>
        <v/>
      </c>
      <c r="B77" s="64" t="n"/>
      <c r="C77" s="61" t="n"/>
      <c r="D77" s="61" t="n"/>
      <c r="E77" s="61" t="n"/>
      <c r="F77" s="61" t="n"/>
      <c r="G77" s="61" t="n"/>
      <c r="H77" s="56" t="n"/>
      <c r="I77" s="58" t="n"/>
      <c r="J77" s="58" t="n"/>
    </row>
    <row r="78">
      <c r="A78" s="55">
        <f>+'Lista de riesgos altos'!A78</f>
        <v/>
      </c>
      <c r="B78" s="64" t="n"/>
      <c r="C78" s="61" t="n"/>
      <c r="D78" s="61" t="n"/>
      <c r="E78" s="61" t="n"/>
      <c r="F78" s="61" t="n"/>
      <c r="G78" s="61" t="n"/>
      <c r="H78" s="56" t="n"/>
      <c r="I78" s="58" t="n"/>
      <c r="J78" s="58" t="n"/>
    </row>
    <row r="79">
      <c r="A79" s="55">
        <f>+'Lista de riesgos altos'!A79</f>
        <v/>
      </c>
      <c r="B79" s="64" t="n"/>
      <c r="C79" s="61" t="n"/>
      <c r="D79" s="61" t="n"/>
      <c r="E79" s="61" t="n"/>
      <c r="F79" s="61" t="n"/>
      <c r="G79" s="61" t="n"/>
      <c r="H79" s="56" t="n"/>
      <c r="I79" s="58" t="n"/>
      <c r="J79" s="58" t="n"/>
    </row>
    <row r="80">
      <c r="A80" s="55">
        <f>+'Lista de riesgos altos'!A80</f>
        <v/>
      </c>
      <c r="B80" s="64" t="n"/>
      <c r="C80" s="61" t="n"/>
      <c r="D80" s="61" t="n"/>
      <c r="E80" s="61" t="n"/>
      <c r="F80" s="61" t="n"/>
      <c r="G80" s="61" t="n"/>
      <c r="H80" s="56" t="n"/>
      <c r="I80" s="58" t="n"/>
      <c r="J80" s="58" t="n"/>
    </row>
    <row r="81">
      <c r="A81" s="55">
        <f>+'Lista de riesgos altos'!A81</f>
        <v/>
      </c>
      <c r="B81" s="64" t="n"/>
      <c r="C81" s="61" t="n"/>
      <c r="D81" s="61" t="n"/>
      <c r="E81" s="61" t="n"/>
      <c r="F81" s="61" t="n"/>
      <c r="G81" s="61" t="n"/>
      <c r="H81" s="56" t="n"/>
      <c r="I81" s="58" t="n"/>
      <c r="J81" s="58" t="n"/>
    </row>
    <row r="82">
      <c r="A82" s="55">
        <f>+'Lista de riesgos altos'!A82</f>
        <v/>
      </c>
      <c r="B82" s="64" t="n"/>
      <c r="C82" s="61" t="n"/>
      <c r="D82" s="61" t="n"/>
      <c r="E82" s="61" t="n"/>
      <c r="F82" s="61" t="n"/>
      <c r="G82" s="61" t="n"/>
      <c r="H82" s="56" t="n"/>
      <c r="I82" s="58" t="n"/>
      <c r="J82" s="58" t="n"/>
    </row>
    <row r="83">
      <c r="A83" s="55">
        <f>+'Lista de riesgos altos'!A83</f>
        <v/>
      </c>
      <c r="B83" s="64" t="n"/>
      <c r="C83" s="61" t="n"/>
      <c r="D83" s="61" t="n"/>
      <c r="E83" s="61" t="n"/>
      <c r="F83" s="61" t="n"/>
      <c r="G83" s="61" t="n"/>
      <c r="H83" s="56" t="n"/>
      <c r="I83" s="58" t="n"/>
      <c r="J83" s="58" t="n"/>
    </row>
    <row r="84">
      <c r="A84" s="55">
        <f>+'Lista de riesgos altos'!A84</f>
        <v/>
      </c>
      <c r="B84" s="64" t="n"/>
      <c r="C84" s="61" t="n"/>
      <c r="D84" s="61" t="n"/>
      <c r="E84" s="61" t="n"/>
      <c r="F84" s="61" t="n"/>
      <c r="G84" s="61" t="n"/>
      <c r="H84" s="56" t="n"/>
      <c r="I84" s="58" t="n"/>
      <c r="J84" s="58" t="n"/>
    </row>
    <row r="85">
      <c r="A85" s="55">
        <f>+'Lista de riesgos altos'!A85</f>
        <v/>
      </c>
      <c r="B85" s="64" t="n"/>
      <c r="C85" s="61" t="n"/>
      <c r="D85" s="61" t="n"/>
      <c r="E85" s="61" t="n"/>
      <c r="F85" s="61" t="n"/>
      <c r="G85" s="61" t="n"/>
      <c r="H85" s="56" t="n"/>
      <c r="I85" s="58" t="n"/>
      <c r="J85" s="58" t="n"/>
    </row>
    <row r="86">
      <c r="A86" s="55">
        <f>+'Lista de riesgos altos'!A86</f>
        <v/>
      </c>
      <c r="B86" s="64" t="n"/>
      <c r="C86" s="61" t="n"/>
      <c r="D86" s="61" t="n"/>
      <c r="E86" s="61" t="n"/>
      <c r="F86" s="61" t="n"/>
      <c r="G86" s="61" t="n"/>
      <c r="H86" s="56" t="n"/>
      <c r="I86" s="58" t="n"/>
      <c r="J86" s="58" t="n"/>
    </row>
    <row r="87">
      <c r="A87" s="55">
        <f>+'Lista de riesgos altos'!A87</f>
        <v/>
      </c>
      <c r="B87" s="64" t="n"/>
      <c r="C87" s="61" t="n"/>
      <c r="D87" s="61" t="n"/>
      <c r="E87" s="61" t="n"/>
      <c r="F87" s="61" t="n"/>
      <c r="G87" s="61" t="n"/>
      <c r="H87" s="56" t="n"/>
      <c r="I87" s="58" t="n"/>
      <c r="J87" s="58" t="n"/>
    </row>
    <row r="88">
      <c r="A88" s="55">
        <f>+'Lista de riesgos altos'!A88</f>
        <v/>
      </c>
      <c r="B88" s="64" t="n"/>
      <c r="C88" s="61" t="n"/>
      <c r="D88" s="61" t="n"/>
      <c r="E88" s="61" t="n"/>
      <c r="F88" s="61" t="n"/>
      <c r="G88" s="61" t="n"/>
      <c r="H88" s="56" t="n"/>
      <c r="I88" s="58" t="n"/>
      <c r="J88" s="58" t="n"/>
    </row>
    <row r="89">
      <c r="A89" s="55">
        <f>+'Lista de riesgos altos'!A89</f>
        <v/>
      </c>
      <c r="B89" s="64" t="n"/>
      <c r="C89" s="61" t="n"/>
      <c r="D89" s="61" t="n"/>
      <c r="E89" s="61" t="n"/>
      <c r="F89" s="61" t="n"/>
      <c r="G89" s="61" t="n"/>
      <c r="H89" s="56" t="n"/>
      <c r="I89" s="58" t="n"/>
      <c r="J89" s="58" t="n"/>
    </row>
    <row r="90">
      <c r="A90" s="55">
        <f>+'Lista de riesgos altos'!A90</f>
        <v/>
      </c>
      <c r="B90" s="64" t="n"/>
      <c r="C90" s="61" t="n"/>
      <c r="D90" s="61" t="n"/>
      <c r="E90" s="61" t="n"/>
      <c r="F90" s="61" t="n"/>
      <c r="G90" s="61" t="n"/>
      <c r="H90" s="56" t="n"/>
      <c r="I90" s="58" t="n"/>
      <c r="J90" s="58" t="n"/>
    </row>
    <row r="91">
      <c r="A91" s="55">
        <f>+'Lista de riesgos altos'!A91</f>
        <v/>
      </c>
      <c r="B91" s="64" t="n"/>
      <c r="C91" s="61" t="n"/>
      <c r="D91" s="61" t="n"/>
      <c r="E91" s="61" t="n"/>
      <c r="F91" s="61" t="n"/>
      <c r="G91" s="61" t="n"/>
      <c r="H91" s="56" t="n"/>
      <c r="I91" s="58" t="n"/>
      <c r="J91" s="58" t="n"/>
    </row>
    <row r="92">
      <c r="A92" s="55">
        <f>+'Lista de riesgos altos'!A92</f>
        <v/>
      </c>
      <c r="B92" s="64" t="n"/>
      <c r="C92" s="61" t="n"/>
      <c r="D92" s="61" t="n"/>
      <c r="E92" s="61" t="n"/>
      <c r="F92" s="61" t="n"/>
      <c r="G92" s="61" t="n"/>
      <c r="H92" s="56" t="n"/>
      <c r="I92" s="58" t="n"/>
      <c r="J92" s="58" t="n"/>
    </row>
    <row r="93">
      <c r="A93" s="55">
        <f>+'Lista de riesgos altos'!A93</f>
        <v/>
      </c>
      <c r="B93" s="64" t="n"/>
      <c r="C93" s="61" t="n"/>
      <c r="D93" s="61" t="n"/>
      <c r="E93" s="61" t="n"/>
      <c r="F93" s="61" t="n"/>
      <c r="G93" s="61" t="n"/>
      <c r="H93" s="56" t="n"/>
      <c r="I93" s="58" t="n"/>
      <c r="J93" s="58" t="n"/>
    </row>
    <row r="94">
      <c r="A94" s="55">
        <f>+'Lista de riesgos altos'!A94</f>
        <v/>
      </c>
      <c r="B94" s="64" t="n"/>
      <c r="C94" s="61" t="n"/>
      <c r="D94" s="61" t="n"/>
      <c r="E94" s="61" t="n"/>
      <c r="F94" s="61" t="n"/>
      <c r="G94" s="61" t="n"/>
      <c r="H94" s="56" t="n"/>
      <c r="I94" s="58" t="n"/>
      <c r="J94" s="58" t="n"/>
    </row>
    <row r="95">
      <c r="A95" s="55">
        <f>+'Lista de riesgos altos'!A95</f>
        <v/>
      </c>
      <c r="B95" s="64" t="n"/>
      <c r="C95" s="61" t="n"/>
      <c r="D95" s="61" t="n"/>
      <c r="E95" s="61" t="n"/>
      <c r="F95" s="61" t="n"/>
      <c r="G95" s="61" t="n"/>
      <c r="H95" s="56" t="n"/>
      <c r="I95" s="58" t="n"/>
      <c r="J95" s="58" t="n"/>
    </row>
    <row r="96">
      <c r="A96" s="55">
        <f>+'Lista de riesgos altos'!A96</f>
        <v/>
      </c>
      <c r="B96" s="64" t="n"/>
      <c r="C96" s="61" t="n"/>
      <c r="D96" s="61" t="n"/>
      <c r="E96" s="61" t="n"/>
      <c r="F96" s="61" t="n"/>
      <c r="G96" s="61" t="n"/>
      <c r="H96" s="56" t="n"/>
      <c r="I96" s="58" t="n"/>
      <c r="J96" s="58" t="n"/>
    </row>
    <row r="97">
      <c r="A97" s="55">
        <f>+'Lista de riesgos altos'!A97</f>
        <v/>
      </c>
      <c r="B97" s="64" t="n"/>
      <c r="C97" s="61" t="n"/>
      <c r="D97" s="61" t="n"/>
      <c r="E97" s="61" t="n"/>
      <c r="F97" s="61" t="n"/>
      <c r="G97" s="61" t="n"/>
      <c r="H97" s="56" t="n"/>
      <c r="I97" s="58" t="n"/>
      <c r="J97" s="58" t="n"/>
    </row>
    <row r="98">
      <c r="A98" s="55">
        <f>+'Lista de riesgos altos'!A98</f>
        <v/>
      </c>
      <c r="B98" s="64" t="n"/>
      <c r="C98" s="61" t="n"/>
      <c r="D98" s="61" t="n"/>
      <c r="E98" s="61" t="n"/>
      <c r="F98" s="61" t="n"/>
      <c r="G98" s="61" t="n"/>
      <c r="H98" s="56" t="n"/>
      <c r="I98" s="58" t="n"/>
      <c r="J98" s="58" t="n"/>
    </row>
    <row r="99">
      <c r="A99" s="55">
        <f>+'Lista de riesgos altos'!A99</f>
        <v/>
      </c>
      <c r="B99" s="62" t="n"/>
      <c r="C99" s="62" t="n"/>
      <c r="D99" s="62" t="n"/>
      <c r="E99" s="62" t="n"/>
      <c r="F99" s="62" t="n"/>
      <c r="G99" s="62" t="n"/>
      <c r="H99" s="56" t="n"/>
      <c r="I99" s="58" t="n"/>
      <c r="J99" s="58" t="n"/>
    </row>
    <row r="100">
      <c r="A100" s="55">
        <f>+'Lista de riesgos altos'!A100</f>
        <v/>
      </c>
      <c r="B100" s="62" t="n"/>
      <c r="C100" s="62" t="n"/>
      <c r="D100" s="62" t="n"/>
      <c r="E100" s="62" t="n"/>
      <c r="F100" s="62" t="n"/>
      <c r="G100" s="62" t="n"/>
      <c r="H100" s="56" t="n"/>
      <c r="I100" s="58" t="n"/>
      <c r="J100" s="58" t="n"/>
    </row>
    <row r="101">
      <c r="A101" s="55">
        <f>+'Lista de riesgos altos'!A101</f>
        <v/>
      </c>
      <c r="B101" s="62" t="n"/>
      <c r="C101" s="62" t="n"/>
      <c r="D101" s="62" t="n"/>
      <c r="E101" s="62" t="n"/>
      <c r="F101" s="62" t="n"/>
      <c r="G101" s="62" t="n"/>
      <c r="H101" s="56" t="n"/>
      <c r="I101" s="58" t="n"/>
      <c r="J101" s="58" t="n"/>
    </row>
    <row r="102">
      <c r="A102" s="55">
        <f>+'Lista de riesgos altos'!A102</f>
        <v/>
      </c>
      <c r="B102" s="62" t="n"/>
      <c r="C102" s="62" t="n"/>
      <c r="D102" s="62" t="n"/>
      <c r="E102" s="62" t="n"/>
      <c r="F102" s="62" t="n"/>
      <c r="G102" s="62" t="n"/>
      <c r="H102" s="56" t="n"/>
      <c r="I102" s="58" t="n"/>
      <c r="J102" s="58" t="n"/>
    </row>
    <row r="103">
      <c r="A103" s="55">
        <f>+'Lista de riesgos altos'!A103</f>
        <v/>
      </c>
      <c r="B103" s="62" t="n"/>
      <c r="C103" s="62" t="n"/>
      <c r="D103" s="62" t="n"/>
      <c r="E103" s="62" t="n"/>
      <c r="F103" s="62" t="n"/>
      <c r="G103" s="62" t="n"/>
      <c r="H103" s="56" t="n"/>
      <c r="I103" s="58" t="n"/>
      <c r="J103" s="58" t="n"/>
    </row>
    <row r="104">
      <c r="A104" s="55">
        <f>+'Lista de riesgos altos'!A104</f>
        <v/>
      </c>
      <c r="B104" s="62" t="n"/>
      <c r="C104" s="62" t="n"/>
      <c r="D104" s="62" t="n"/>
      <c r="E104" s="62" t="n"/>
      <c r="F104" s="62" t="n"/>
      <c r="G104" s="62" t="n"/>
      <c r="H104" s="56" t="n"/>
      <c r="I104" s="58" t="n"/>
      <c r="J104" s="58" t="n"/>
    </row>
    <row r="105">
      <c r="A105" s="55">
        <f>+'Lista de riesgos altos'!A105</f>
        <v/>
      </c>
      <c r="B105" s="62" t="n"/>
      <c r="C105" s="62" t="n"/>
      <c r="D105" s="62" t="n"/>
      <c r="E105" s="62" t="n"/>
      <c r="F105" s="62" t="n"/>
      <c r="G105" s="62" t="n"/>
      <c r="H105" s="56" t="n"/>
      <c r="I105" s="58" t="n"/>
      <c r="J105" s="58" t="n"/>
    </row>
    <row r="106">
      <c r="A106" s="55">
        <f>+'Lista de riesgos altos'!A106</f>
        <v/>
      </c>
      <c r="B106" s="62" t="n"/>
      <c r="C106" s="62" t="n"/>
      <c r="D106" s="62" t="n"/>
      <c r="E106" s="62" t="n"/>
      <c r="F106" s="62" t="n"/>
      <c r="G106" s="62" t="n"/>
      <c r="H106" s="56" t="n"/>
      <c r="I106" s="58" t="n"/>
      <c r="J106" s="58" t="n"/>
    </row>
    <row r="107">
      <c r="A107" s="55">
        <f>+'Lista de riesgos altos'!A107</f>
        <v/>
      </c>
      <c r="B107" s="62" t="n"/>
      <c r="C107" s="62" t="n"/>
      <c r="D107" s="62" t="n"/>
      <c r="E107" s="62" t="n"/>
      <c r="F107" s="62" t="n"/>
      <c r="G107" s="62" t="n"/>
      <c r="H107" s="56" t="n"/>
      <c r="I107" s="58" t="n"/>
      <c r="J107" s="58" t="n"/>
    </row>
    <row r="108">
      <c r="A108" s="55">
        <f>+'Lista de riesgos altos'!A108</f>
        <v/>
      </c>
      <c r="B108" s="62" t="n"/>
      <c r="C108" s="62" t="n"/>
      <c r="D108" s="62" t="n"/>
      <c r="E108" s="62" t="n"/>
      <c r="F108" s="62" t="n"/>
      <c r="G108" s="62" t="n"/>
      <c r="H108" s="56" t="n"/>
      <c r="I108" s="58" t="n"/>
      <c r="J108" s="58" t="n"/>
    </row>
    <row r="109">
      <c r="A109" s="55">
        <f>+'Lista de riesgos altos'!A109</f>
        <v/>
      </c>
      <c r="B109" s="62" t="n"/>
      <c r="C109" s="62" t="n"/>
      <c r="D109" s="62" t="n"/>
      <c r="E109" s="62" t="n"/>
      <c r="F109" s="62" t="n"/>
      <c r="G109" s="62" t="n"/>
      <c r="H109" s="56" t="n"/>
      <c r="I109" s="58" t="n"/>
      <c r="J109" s="58" t="n"/>
    </row>
    <row r="110">
      <c r="A110" s="55">
        <f>+'Lista de riesgos altos'!A110</f>
        <v/>
      </c>
      <c r="B110" s="62" t="n"/>
      <c r="C110" s="62" t="n"/>
      <c r="D110" s="62" t="n"/>
      <c r="E110" s="62" t="n"/>
      <c r="F110" s="62" t="n"/>
      <c r="G110" s="62" t="n"/>
      <c r="H110" s="56" t="n"/>
      <c r="I110" s="58" t="n"/>
      <c r="J110" s="58" t="n"/>
    </row>
    <row r="111">
      <c r="A111" s="55">
        <f>+'Lista de riesgos altos'!A111</f>
        <v/>
      </c>
      <c r="B111" s="62" t="n"/>
      <c r="C111" s="62" t="n"/>
      <c r="D111" s="62" t="n"/>
      <c r="E111" s="62" t="n"/>
      <c r="F111" s="62" t="n"/>
      <c r="G111" s="62" t="n"/>
      <c r="H111" s="56" t="n"/>
      <c r="I111" s="58" t="n"/>
      <c r="J111" s="58" t="n"/>
    </row>
    <row r="112">
      <c r="A112" s="55">
        <f>+'Lista de riesgos altos'!A112</f>
        <v/>
      </c>
      <c r="B112" s="62" t="n"/>
      <c r="C112" s="62" t="n"/>
      <c r="D112" s="62" t="n"/>
      <c r="E112" s="62" t="n"/>
      <c r="F112" s="62" t="n"/>
      <c r="G112" s="62" t="n"/>
      <c r="H112" s="56" t="n"/>
      <c r="I112" s="58" t="n"/>
      <c r="J112" s="58" t="n"/>
    </row>
    <row r="113">
      <c r="A113" s="55">
        <f>+'Lista de riesgos altos'!A113</f>
        <v/>
      </c>
      <c r="B113" s="62" t="n"/>
      <c r="C113" s="62" t="n"/>
      <c r="D113" s="62" t="n"/>
      <c r="E113" s="62" t="n"/>
      <c r="F113" s="62" t="n"/>
      <c r="G113" s="62" t="n"/>
      <c r="H113" s="56" t="n"/>
      <c r="I113" s="58" t="n"/>
      <c r="J113" s="58" t="n"/>
    </row>
    <row r="114">
      <c r="A114" s="55">
        <f>+'Lista de riesgos altos'!A114</f>
        <v/>
      </c>
      <c r="B114" s="62" t="n"/>
      <c r="C114" s="62" t="n"/>
      <c r="D114" s="62" t="n"/>
      <c r="E114" s="62" t="n"/>
      <c r="F114" s="62" t="n"/>
      <c r="G114" s="62" t="n"/>
      <c r="H114" s="56" t="n"/>
      <c r="I114" s="58" t="n"/>
      <c r="J114" s="58" t="n"/>
    </row>
    <row r="115">
      <c r="A115" s="55">
        <f>+'Lista de riesgos altos'!A115</f>
        <v/>
      </c>
      <c r="B115" s="62" t="n"/>
      <c r="C115" s="62" t="n"/>
      <c r="D115" s="62" t="n"/>
      <c r="E115" s="62" t="n"/>
      <c r="F115" s="62" t="n"/>
      <c r="G115" s="62" t="n"/>
      <c r="H115" s="56" t="n"/>
      <c r="I115" s="58" t="n"/>
      <c r="J115" s="58" t="n"/>
    </row>
    <row r="116">
      <c r="A116" s="55">
        <f>+'Lista de riesgos altos'!A116</f>
        <v/>
      </c>
      <c r="B116" s="62" t="n"/>
      <c r="C116" s="62" t="n"/>
      <c r="D116" s="62" t="n"/>
      <c r="E116" s="62" t="n"/>
      <c r="F116" s="62" t="n"/>
      <c r="G116" s="62" t="n"/>
      <c r="H116" s="56" t="n"/>
      <c r="I116" s="58" t="n"/>
      <c r="J116" s="58" t="n"/>
    </row>
    <row r="117">
      <c r="A117" s="55">
        <f>+'Lista de riesgos altos'!A117</f>
        <v/>
      </c>
      <c r="B117" s="62" t="n"/>
      <c r="C117" s="62" t="n"/>
      <c r="D117" s="62" t="n"/>
      <c r="E117" s="62" t="n"/>
      <c r="F117" s="62" t="n"/>
      <c r="G117" s="62" t="n"/>
      <c r="H117" s="56" t="n"/>
      <c r="I117" s="58" t="n"/>
      <c r="J117" s="58" t="n"/>
    </row>
    <row r="118">
      <c r="A118" s="55">
        <f>+'Lista de riesgos altos'!A118</f>
        <v/>
      </c>
      <c r="B118" s="62" t="n"/>
      <c r="C118" s="62" t="n"/>
      <c r="D118" s="62" t="n"/>
      <c r="E118" s="62" t="n"/>
      <c r="F118" s="62" t="n"/>
      <c r="G118" s="62" t="n"/>
      <c r="H118" s="56" t="n"/>
      <c r="I118" s="58" t="n"/>
      <c r="J118" s="58" t="n"/>
    </row>
    <row r="119">
      <c r="A119" s="55">
        <f>+'Lista de riesgos altos'!A119</f>
        <v/>
      </c>
      <c r="B119" s="62" t="n"/>
      <c r="C119" s="62" t="n"/>
      <c r="D119" s="62" t="n"/>
      <c r="E119" s="62" t="n"/>
      <c r="F119" s="62" t="n"/>
      <c r="G119" s="62" t="n"/>
      <c r="H119" s="56" t="n"/>
      <c r="I119" s="58" t="n"/>
      <c r="J119" s="58" t="n"/>
    </row>
    <row r="120">
      <c r="A120" s="55">
        <f>+'Lista de riesgos altos'!A120</f>
        <v/>
      </c>
      <c r="B120" s="62" t="n"/>
      <c r="C120" s="62" t="n"/>
      <c r="D120" s="62" t="n"/>
      <c r="E120" s="62" t="n"/>
      <c r="F120" s="62" t="n"/>
      <c r="G120" s="62" t="n"/>
      <c r="H120" s="56" t="n"/>
      <c r="I120" s="58" t="n"/>
      <c r="J120" s="58" t="n"/>
    </row>
    <row r="121">
      <c r="A121" s="55">
        <f>+'Lista de riesgos altos'!A121</f>
        <v/>
      </c>
      <c r="B121" s="62" t="n"/>
      <c r="C121" s="62" t="n"/>
      <c r="D121" s="62" t="n"/>
      <c r="E121" s="62" t="n"/>
      <c r="F121" s="62" t="n"/>
      <c r="G121" s="62" t="n"/>
      <c r="H121" s="56" t="n"/>
      <c r="I121" s="58" t="n"/>
      <c r="J121" s="58" t="n"/>
    </row>
    <row r="122">
      <c r="A122" s="55">
        <f>+'Lista de riesgos altos'!A122</f>
        <v/>
      </c>
      <c r="B122" s="62" t="n"/>
      <c r="C122" s="62" t="n"/>
      <c r="D122" s="62" t="n"/>
      <c r="E122" s="62" t="n"/>
      <c r="F122" s="62" t="n"/>
      <c r="G122" s="62" t="n"/>
      <c r="H122" s="56" t="n"/>
      <c r="I122" s="58" t="n"/>
      <c r="J122" s="58" t="n"/>
    </row>
    <row r="123">
      <c r="A123" s="55">
        <f>+'Lista de riesgos altos'!A123</f>
        <v/>
      </c>
      <c r="B123" s="62" t="n"/>
      <c r="C123" s="62" t="n"/>
      <c r="D123" s="62" t="n"/>
      <c r="E123" s="62" t="n"/>
      <c r="F123" s="62" t="n"/>
      <c r="G123" s="62" t="n"/>
      <c r="H123" s="56" t="n"/>
      <c r="I123" s="58" t="n"/>
      <c r="J123" s="58" t="n"/>
    </row>
    <row r="124">
      <c r="A124" s="55">
        <f>+'Lista de riesgos altos'!A124</f>
        <v/>
      </c>
      <c r="B124" s="62" t="n"/>
      <c r="C124" s="62" t="n"/>
      <c r="D124" s="62" t="n"/>
      <c r="E124" s="62" t="n"/>
      <c r="F124" s="62" t="n"/>
      <c r="G124" s="62" t="n"/>
      <c r="H124" s="56" t="n"/>
      <c r="I124" s="58" t="n"/>
      <c r="J124" s="58" t="n"/>
    </row>
    <row r="125">
      <c r="A125" s="55">
        <f>+'Lista de riesgos altos'!A125</f>
        <v/>
      </c>
      <c r="B125" s="62" t="n"/>
      <c r="C125" s="62" t="n"/>
      <c r="D125" s="62" t="n"/>
      <c r="E125" s="62" t="n"/>
      <c r="F125" s="62" t="n"/>
      <c r="G125" s="62" t="n"/>
      <c r="H125" s="56" t="n"/>
      <c r="I125" s="58" t="n"/>
      <c r="J125" s="58" t="n"/>
    </row>
    <row r="126">
      <c r="A126" s="55">
        <f>+'Lista de riesgos altos'!A126</f>
        <v/>
      </c>
      <c r="B126" s="62" t="n"/>
      <c r="C126" s="62" t="n"/>
      <c r="D126" s="62" t="n"/>
      <c r="E126" s="62" t="n"/>
      <c r="F126" s="62" t="n"/>
      <c r="G126" s="62" t="n"/>
      <c r="H126" s="56" t="n"/>
      <c r="I126" s="58" t="n"/>
      <c r="J126" s="58" t="n"/>
    </row>
    <row r="127">
      <c r="A127" s="55">
        <f>+'Lista de riesgos altos'!A127</f>
        <v/>
      </c>
      <c r="B127" s="62" t="n"/>
      <c r="C127" s="62" t="n"/>
      <c r="D127" s="62" t="n"/>
      <c r="E127" s="62" t="n"/>
      <c r="F127" s="62" t="n"/>
      <c r="G127" s="62" t="n"/>
      <c r="H127" s="56" t="n"/>
      <c r="I127" s="58" t="n"/>
      <c r="J127" s="58" t="n"/>
    </row>
    <row r="128">
      <c r="A128" s="55">
        <f>+'Lista de riesgos altos'!A128</f>
        <v/>
      </c>
      <c r="B128" s="62" t="n"/>
      <c r="C128" s="62" t="n"/>
      <c r="D128" s="62" t="n"/>
      <c r="E128" s="62" t="n"/>
      <c r="F128" s="62" t="n"/>
      <c r="G128" s="62" t="n"/>
      <c r="H128" s="56" t="n"/>
      <c r="I128" s="58" t="n"/>
      <c r="J128" s="58" t="n"/>
    </row>
    <row r="129">
      <c r="A129" s="55">
        <f>+'Lista de riesgos altos'!A129</f>
        <v/>
      </c>
      <c r="B129" s="62" t="n"/>
      <c r="C129" s="62" t="n"/>
      <c r="D129" s="62" t="n"/>
      <c r="E129" s="62" t="n"/>
      <c r="F129" s="62" t="n"/>
      <c r="G129" s="62" t="n"/>
      <c r="H129" s="56" t="n"/>
      <c r="I129" s="58" t="n"/>
      <c r="J129" s="58" t="n"/>
    </row>
    <row r="130">
      <c r="A130" s="55">
        <f>+'Lista de riesgos altos'!A130</f>
        <v/>
      </c>
      <c r="B130" s="62" t="n"/>
      <c r="C130" s="62" t="n"/>
      <c r="D130" s="62" t="n"/>
      <c r="E130" s="62" t="n"/>
      <c r="F130" s="62" t="n"/>
      <c r="G130" s="62" t="n"/>
      <c r="H130" s="56" t="n"/>
      <c r="I130" s="58" t="n"/>
      <c r="J130" s="58" t="n"/>
    </row>
    <row r="131" ht="18" customHeight="1">
      <c r="A131" s="53" t="n"/>
    </row>
    <row r="132" ht="18" customHeight="1">
      <c r="A132" s="52" t="n"/>
    </row>
    <row r="133" ht="18" customHeight="1">
      <c r="A133" s="52" t="n"/>
    </row>
    <row r="134" ht="18" customHeight="1">
      <c r="A134" s="52" t="n"/>
    </row>
    <row r="135" ht="18" customHeight="1">
      <c r="A135" s="52" t="n"/>
    </row>
    <row r="136" ht="18" customHeight="1">
      <c r="A136" s="52" t="n"/>
    </row>
    <row r="137" ht="18" customHeight="1">
      <c r="A137" s="52" t="n"/>
    </row>
    <row r="138" ht="18" customHeight="1">
      <c r="A138" s="52" t="n"/>
    </row>
    <row r="139" ht="18" customHeight="1">
      <c r="A139" s="52" t="n"/>
    </row>
    <row r="140" ht="18" customHeight="1">
      <c r="A140" s="52" t="n"/>
    </row>
    <row r="141" ht="18" customHeight="1">
      <c r="A141" s="52" t="n"/>
    </row>
    <row r="142" ht="18" customHeight="1">
      <c r="A142" s="52" t="n"/>
    </row>
    <row r="143" ht="18" customHeight="1">
      <c r="A143" s="52" t="n"/>
    </row>
    <row r="144" ht="18" customHeight="1">
      <c r="A144" s="52" t="n"/>
    </row>
    <row r="145" ht="18" customHeight="1">
      <c r="A145" s="52" t="n"/>
    </row>
    <row r="146" ht="18" customHeight="1">
      <c r="A146" s="52" t="n"/>
    </row>
    <row r="147" ht="18" customHeight="1">
      <c r="A147" s="52" t="n"/>
    </row>
    <row r="148" ht="18" customHeight="1">
      <c r="A148" s="52" t="n"/>
    </row>
    <row r="149" ht="18" customHeight="1">
      <c r="A149" s="52" t="n"/>
    </row>
    <row r="150" ht="18" customHeight="1">
      <c r="A150" s="52" t="n"/>
    </row>
  </sheetData>
  <mergeCells count="7">
    <mergeCell ref="B1:E1"/>
    <mergeCell ref="G1:G2"/>
    <mergeCell ref="F1:F2"/>
    <mergeCell ref="I1:I2"/>
    <mergeCell ref="J1:J2"/>
    <mergeCell ref="H1:H2"/>
    <mergeCell ref="A1:A2"/>
  </mergeCells>
  <pageMargins left="0.75" right="0.75" top="1" bottom="1" header="0" footer="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87"/>
  <sheetViews>
    <sheetView workbookViewId="0">
      <selection activeCell="B238" sqref="B238"/>
    </sheetView>
  </sheetViews>
  <sheetFormatPr baseColWidth="8" defaultColWidth="11.42578125" defaultRowHeight="15"/>
  <cols>
    <col width="38.5703125" customWidth="1" style="107" min="1" max="1"/>
    <col width="79.5703125" customWidth="1" style="107" min="2" max="2"/>
    <col width="11.42578125" customWidth="1" style="107" min="3" max="16384"/>
  </cols>
  <sheetData>
    <row r="1">
      <c r="A1" s="112" t="inlineStr">
        <is>
          <t>DISPONIBILIDAD</t>
        </is>
      </c>
    </row>
    <row r="2">
      <c r="A2" s="113" t="inlineStr">
        <is>
          <t>Muy alto</t>
        </is>
      </c>
    </row>
    <row r="3">
      <c r="A3" s="113" t="inlineStr">
        <is>
          <t>Alto</t>
        </is>
      </c>
    </row>
    <row r="4">
      <c r="A4" s="113" t="inlineStr">
        <is>
          <t>Moderado</t>
        </is>
      </c>
    </row>
    <row r="5">
      <c r="A5" s="113" t="inlineStr">
        <is>
          <t>Menor</t>
        </is>
      </c>
    </row>
    <row r="6">
      <c r="A6" s="113" t="inlineStr">
        <is>
          <t>Insignificante</t>
        </is>
      </c>
    </row>
    <row r="8">
      <c r="A8" s="111" t="inlineStr">
        <is>
          <t>CONFIDENCIALIDAD</t>
        </is>
      </c>
    </row>
    <row r="9">
      <c r="A9" s="113" t="inlineStr">
        <is>
          <t>Muy alto</t>
        </is>
      </c>
    </row>
    <row r="10">
      <c r="A10" s="113" t="inlineStr">
        <is>
          <t>Alto</t>
        </is>
      </c>
    </row>
    <row r="11">
      <c r="A11" s="113" t="inlineStr">
        <is>
          <t>Moderado</t>
        </is>
      </c>
    </row>
    <row r="12">
      <c r="A12" s="113" t="inlineStr">
        <is>
          <t>Menor</t>
        </is>
      </c>
    </row>
    <row r="13">
      <c r="A13" s="113" t="inlineStr">
        <is>
          <t>Insignificante</t>
        </is>
      </c>
    </row>
    <row r="15">
      <c r="A15" s="111" t="inlineStr">
        <is>
          <t>INTEGRIDAD</t>
        </is>
      </c>
    </row>
    <row r="16">
      <c r="A16" s="113" t="inlineStr">
        <is>
          <t>Muy alto</t>
        </is>
      </c>
    </row>
    <row r="17">
      <c r="A17" s="113" t="inlineStr">
        <is>
          <t>Alto</t>
        </is>
      </c>
    </row>
    <row r="18">
      <c r="A18" s="113" t="inlineStr">
        <is>
          <t>Moderado</t>
        </is>
      </c>
    </row>
    <row r="19">
      <c r="A19" s="113" t="inlineStr">
        <is>
          <t>Menor</t>
        </is>
      </c>
    </row>
    <row r="20">
      <c r="A20" s="113" t="inlineStr">
        <is>
          <t>Insignificante</t>
        </is>
      </c>
    </row>
    <row r="22">
      <c r="A22" s="111" t="inlineStr">
        <is>
          <t>DATO PERSONAL</t>
        </is>
      </c>
    </row>
    <row r="23">
      <c r="A23" s="109" t="inlineStr">
        <is>
          <t>Si</t>
        </is>
      </c>
    </row>
    <row r="24">
      <c r="A24" s="109" t="inlineStr">
        <is>
          <t>No</t>
        </is>
      </c>
    </row>
    <row r="26">
      <c r="A26" s="111" t="inlineStr">
        <is>
          <t>TIPO DE DATO PERSONAL</t>
        </is>
      </c>
    </row>
    <row r="27">
      <c r="A27" s="109" t="inlineStr">
        <is>
          <t>Datos personales de carácter general</t>
        </is>
      </c>
    </row>
    <row r="28">
      <c r="A28" s="109" t="inlineStr">
        <is>
          <t>Datos personales sensibles</t>
        </is>
      </c>
    </row>
    <row r="29">
      <c r="A29" s="109" t="inlineStr">
        <is>
          <t>Datos Personales Especialmente protegidos de menores de edad</t>
        </is>
      </c>
    </row>
    <row r="30">
      <c r="A30" s="109" t="inlineStr">
        <is>
          <t>Información Financiera de las personas Fisicas</t>
        </is>
      </c>
    </row>
    <row r="31">
      <c r="A31" s="109" t="inlineStr">
        <is>
          <t>No aplica</t>
        </is>
      </c>
    </row>
    <row r="32">
      <c r="A32" s="108" t="n"/>
    </row>
    <row r="33">
      <c r="A33" s="111" t="inlineStr">
        <is>
          <t>INFORMACIÓN EMPRESARIAL</t>
        </is>
      </c>
    </row>
    <row r="34">
      <c r="A34" s="109" t="inlineStr">
        <is>
          <t>Información estratégica</t>
        </is>
      </c>
    </row>
    <row r="35">
      <c r="A35" s="109" t="inlineStr">
        <is>
          <t>Información operativa</t>
        </is>
      </c>
    </row>
    <row r="36">
      <c r="A36" s="109" t="inlineStr">
        <is>
          <t>Información económica</t>
        </is>
      </c>
    </row>
    <row r="37">
      <c r="A37" s="109" t="inlineStr">
        <is>
          <t>No aplica</t>
        </is>
      </c>
    </row>
    <row r="38">
      <c r="A38" s="108" t="n"/>
    </row>
    <row r="40">
      <c r="A40" s="110" t="inlineStr">
        <is>
          <t>TIPO DE ACTIVO DE INFORMACIÓN</t>
        </is>
      </c>
    </row>
    <row r="41">
      <c r="A41" s="109" t="inlineStr">
        <is>
          <t>Personas</t>
        </is>
      </c>
    </row>
    <row r="42">
      <c r="A42" s="109" t="inlineStr">
        <is>
          <t>Información</t>
        </is>
      </c>
    </row>
    <row r="43">
      <c r="A43" s="109" t="inlineStr">
        <is>
          <t>Aplicaciones</t>
        </is>
      </c>
    </row>
    <row r="44">
      <c r="A44" s="109" t="inlineStr">
        <is>
          <t>Infraestructura</t>
        </is>
      </c>
    </row>
    <row r="46">
      <c r="A46" s="110" t="inlineStr">
        <is>
          <t>PROPIEDAD INTELECTUAL</t>
        </is>
      </c>
    </row>
    <row r="47">
      <c r="A47" s="109" t="inlineStr">
        <is>
          <t xml:space="preserve">Derechos de autor </t>
        </is>
      </c>
    </row>
    <row r="48">
      <c r="A48" s="109" t="inlineStr">
        <is>
          <t>Propiedad intelectual</t>
        </is>
      </c>
    </row>
    <row r="49">
      <c r="A49" s="109" t="inlineStr">
        <is>
          <t>Propiedad inmaterial</t>
        </is>
      </c>
    </row>
    <row r="50">
      <c r="A50" s="109" t="inlineStr">
        <is>
          <t>No aplica</t>
        </is>
      </c>
    </row>
    <row r="52">
      <c r="A52" s="110" t="inlineStr">
        <is>
          <t>TIPO DE CONTROL</t>
        </is>
      </c>
    </row>
    <row r="53">
      <c r="A53" s="113" t="inlineStr">
        <is>
          <t>Tecnológico</t>
        </is>
      </c>
    </row>
    <row r="54">
      <c r="A54" s="113" t="inlineStr">
        <is>
          <t>Administrativo</t>
        </is>
      </c>
    </row>
    <row r="55">
      <c r="A55" s="113" t="inlineStr">
        <is>
          <t>Físico</t>
        </is>
      </c>
    </row>
    <row r="57">
      <c r="A57" s="110" t="inlineStr">
        <is>
          <t>ESTADO DEL CONTROL</t>
        </is>
      </c>
    </row>
    <row r="58">
      <c r="A58" s="113" t="inlineStr">
        <is>
          <t>Implementado y documentado</t>
        </is>
      </c>
    </row>
    <row r="59">
      <c r="A59" s="113" t="inlineStr">
        <is>
          <t>Implementado y no documentado</t>
        </is>
      </c>
    </row>
    <row r="60">
      <c r="A60" s="113" t="inlineStr">
        <is>
          <t>No implementado y documentado</t>
        </is>
      </c>
    </row>
    <row r="61">
      <c r="A61" s="113" t="inlineStr">
        <is>
          <t>No implementado y no documentado</t>
        </is>
      </c>
    </row>
    <row r="63">
      <c r="A63" s="110" t="inlineStr">
        <is>
          <t>NATURALEZA DEL CONTROL</t>
        </is>
      </c>
    </row>
    <row r="64">
      <c r="A64" s="113" t="inlineStr">
        <is>
          <t>Manual</t>
        </is>
      </c>
    </row>
    <row r="65">
      <c r="A65" s="113" t="inlineStr">
        <is>
          <t>Semiautomático</t>
        </is>
      </c>
    </row>
    <row r="66">
      <c r="A66" s="113" t="inlineStr">
        <is>
          <t>Automático</t>
        </is>
      </c>
    </row>
    <row r="68">
      <c r="A68" s="110" t="inlineStr">
        <is>
          <t>CONTROLES DISMINUYEN PROBABILIDAD</t>
        </is>
      </c>
    </row>
    <row r="69">
      <c r="A69" s="113" t="inlineStr">
        <is>
          <t>Directamente</t>
        </is>
      </c>
    </row>
    <row r="70">
      <c r="A70" s="113" t="inlineStr">
        <is>
          <t>Indirectamente</t>
        </is>
      </c>
    </row>
    <row r="71">
      <c r="A71" s="113" t="inlineStr">
        <is>
          <t>No disminuye</t>
        </is>
      </c>
    </row>
    <row r="73">
      <c r="A73" s="110" t="inlineStr">
        <is>
          <t>CONTROLES DISMINUYEN IMPACTO</t>
        </is>
      </c>
    </row>
    <row r="74">
      <c r="A74" s="113" t="inlineStr">
        <is>
          <t>Directamente</t>
        </is>
      </c>
    </row>
    <row r="75">
      <c r="A75" s="113" t="inlineStr">
        <is>
          <t>Indirectamente</t>
        </is>
      </c>
    </row>
    <row r="76">
      <c r="A76" s="113" t="inlineStr">
        <is>
          <t>No disminuye</t>
        </is>
      </c>
    </row>
    <row r="78">
      <c r="A78" s="110" t="inlineStr">
        <is>
          <t>SOLIDEZ DEL CONTROL</t>
        </is>
      </c>
    </row>
    <row r="79">
      <c r="A79" s="113" t="inlineStr">
        <is>
          <t>Fuerte</t>
        </is>
      </c>
    </row>
    <row r="80">
      <c r="A80" s="113" t="inlineStr">
        <is>
          <t>Moderado</t>
        </is>
      </c>
    </row>
    <row r="81">
      <c r="A81" s="113" t="inlineStr">
        <is>
          <t>Débil</t>
        </is>
      </c>
    </row>
    <row r="83">
      <c r="A83" s="186" t="inlineStr">
        <is>
          <t>ESCALAS DE PRIORIZACIÓN</t>
        </is>
      </c>
    </row>
    <row r="84">
      <c r="A84" s="107" t="inlineStr">
        <is>
          <t>NIVEL</t>
        </is>
      </c>
      <c r="B84" s="107" t="inlineStr">
        <is>
          <t>DEFINICIÓN</t>
        </is>
      </c>
    </row>
    <row r="85">
      <c r="A85" s="107" t="inlineStr">
        <is>
          <t>Crítica</t>
        </is>
      </c>
      <c r="B85" s="107" t="inlineStr">
        <is>
          <t>Controles que deben implementarse de inmediato debido a su urgencia y alto impacto en la mitigación de riesgos críticos para la organización</t>
        </is>
      </c>
    </row>
    <row r="86">
      <c r="A86" s="107" t="inlineStr">
        <is>
          <t>Alta</t>
        </is>
      </c>
      <c r="B86" s="107" t="inlineStr">
        <is>
          <t>Controles importantes que deben implementarse en el corto plazo para abordar riesgos significativos o cumplir con requisitos regulatorios esenciales.</t>
        </is>
      </c>
    </row>
    <row r="87">
      <c r="A87" s="107" t="inlineStr">
        <is>
          <t>Media</t>
        </is>
      </c>
      <c r="B87" s="107" t="inlineStr">
        <is>
          <t>Controles necesarios que deben implementarse en un plazo razonable para mejorar la postura general de gestión de riesgos de la organización</t>
        </is>
      </c>
    </row>
    <row r="88">
      <c r="A88" s="107" t="inlineStr">
        <is>
          <t>Baja</t>
        </is>
      </c>
      <c r="B88" s="107" t="inlineStr">
        <is>
          <t>Controles que son beneficiosos pero no urgentes, y pueden implementarse cuando los recursos estén disponibles sin comprometer la gestión de riesgos más críticos.</t>
        </is>
      </c>
    </row>
    <row r="89">
      <c r="A89" s="107" t="inlineStr">
        <is>
          <t>Opcional</t>
        </is>
      </c>
      <c r="B89" s="107" t="inlineStr">
        <is>
          <t>Controles que podrían ofrecer mejoras marginales en la gestión de riesgos, pero cuya implementación puede considerarse discrecional basada en recursos y prioridades organizacionales.</t>
        </is>
      </c>
    </row>
    <row r="92">
      <c r="A92" s="110" t="inlineStr">
        <is>
          <t>TIPO</t>
        </is>
      </c>
      <c r="B92" s="110" t="inlineStr">
        <is>
          <t>EJEMPLO DE VULNERABILIDADES</t>
        </is>
      </c>
    </row>
    <row r="93">
      <c r="A93" s="185" t="inlineStr">
        <is>
          <t>Hardware</t>
        </is>
      </c>
      <c r="B93" s="1" t="inlineStr">
        <is>
          <t>Mantenimiento insuficiente / Instalación fallida de los medios de almacenamiento</t>
        </is>
      </c>
    </row>
    <row r="94">
      <c r="A94" s="212" t="n"/>
      <c r="B94" s="1" t="inlineStr">
        <is>
          <t>Ausencia de esquemas de reemplazo periódico</t>
        </is>
      </c>
    </row>
    <row r="95">
      <c r="A95" s="212" t="n"/>
      <c r="B95" s="1" t="inlineStr">
        <is>
          <t>Susceptibilidad a la humedad, el polvo y la suciedad</t>
        </is>
      </c>
    </row>
    <row r="96">
      <c r="A96" s="212" t="n"/>
      <c r="B96" s="1" t="inlineStr">
        <is>
          <t>Sensibilidad a la radiación electromagnética</t>
        </is>
      </c>
    </row>
    <row r="97">
      <c r="A97" s="212" t="n"/>
      <c r="B97" s="1" t="inlineStr">
        <is>
          <t>Ausencia de un eficiente control de cambios en la configuración</t>
        </is>
      </c>
    </row>
    <row r="98">
      <c r="A98" s="212" t="n"/>
      <c r="B98" s="1" t="inlineStr">
        <is>
          <t>Susceptibilidad a las variaciones de voltaje</t>
        </is>
      </c>
    </row>
    <row r="99">
      <c r="A99" s="212" t="n"/>
      <c r="B99" s="1" t="inlineStr">
        <is>
          <t>Susceptibilidad a las variaciones de temperatura</t>
        </is>
      </c>
    </row>
    <row r="100">
      <c r="A100" s="212" t="n"/>
      <c r="B100" s="1" t="inlineStr">
        <is>
          <t>Almacenamiento sin protección</t>
        </is>
      </c>
    </row>
    <row r="101">
      <c r="A101" s="212" t="n"/>
      <c r="B101" s="1" t="inlineStr">
        <is>
          <t>Falta de cuidado en la disposición final</t>
        </is>
      </c>
    </row>
    <row r="102">
      <c r="A102" s="218" t="n"/>
      <c r="B102" s="1" t="inlineStr">
        <is>
          <t>Copia no controlada</t>
        </is>
      </c>
    </row>
    <row r="103">
      <c r="A103" s="185" t="inlineStr">
        <is>
          <t>Software</t>
        </is>
      </c>
      <c r="B103" s="1" t="inlineStr">
        <is>
          <t>Ausencia o insuficiencia de pruebas de software</t>
        </is>
      </c>
    </row>
    <row r="104">
      <c r="A104" s="212" t="n"/>
      <c r="B104" s="1" t="inlineStr">
        <is>
          <t>Defectos bien conocidos en el software</t>
        </is>
      </c>
    </row>
    <row r="105">
      <c r="A105" s="212" t="n"/>
      <c r="B105" s="1" t="inlineStr">
        <is>
          <t>Ausencia de "terminación de la sesión" cuando se abandona la estación</t>
        </is>
      </c>
    </row>
    <row r="106">
      <c r="A106" s="212" t="n"/>
      <c r="B106" s="1" t="inlineStr">
        <is>
          <t>Disposición o reutilización de los mediops de almacenamiento sin borrado adecuado</t>
        </is>
      </c>
    </row>
    <row r="107">
      <c r="A107" s="212" t="n"/>
      <c r="B107" s="1" t="inlineStr">
        <is>
          <t>Ausencia de pistas de auditoría</t>
        </is>
      </c>
    </row>
    <row r="108">
      <c r="A108" s="212" t="n"/>
      <c r="B108" s="1" t="inlineStr">
        <is>
          <t>Asignación errada de los derechos de acceso</t>
        </is>
      </c>
    </row>
    <row r="109">
      <c r="A109" s="212" t="n"/>
      <c r="B109" s="1" t="inlineStr">
        <is>
          <t>Software ampliamente distribuído</t>
        </is>
      </c>
    </row>
    <row r="110">
      <c r="A110" s="212" t="n"/>
      <c r="B110" s="1" t="inlineStr">
        <is>
          <t>En términos de tiempo utilización de datos errados en los programas de aplicación</t>
        </is>
      </c>
    </row>
    <row r="111">
      <c r="A111" s="212" t="n"/>
      <c r="B111" s="1" t="inlineStr">
        <is>
          <t>Interfaz de usuario compleja</t>
        </is>
      </c>
    </row>
    <row r="112">
      <c r="A112" s="212" t="n"/>
      <c r="B112" s="1" t="inlineStr">
        <is>
          <t>Ausencia de documentación</t>
        </is>
      </c>
    </row>
    <row r="113">
      <c r="A113" s="212" t="n"/>
      <c r="B113" s="1" t="inlineStr">
        <is>
          <t>Configuración incorrecta de parámetros</t>
        </is>
      </c>
    </row>
    <row r="114">
      <c r="A114" s="212" t="n"/>
      <c r="B114" s="1" t="inlineStr">
        <is>
          <t>Fechas incorrectas</t>
        </is>
      </c>
    </row>
    <row r="115">
      <c r="A115" s="212" t="n"/>
      <c r="B115" s="1" t="inlineStr">
        <is>
          <t>Ausencia de mecanismos de iedntificación y autenticación, como la autentificación de usuario.</t>
        </is>
      </c>
    </row>
    <row r="116">
      <c r="A116" s="212" t="n"/>
      <c r="B116" s="1" t="inlineStr">
        <is>
          <t>Tablas de contraseñas sin protección</t>
        </is>
      </c>
    </row>
    <row r="117">
      <c r="A117" s="212" t="n"/>
      <c r="B117" s="1" t="inlineStr">
        <is>
          <t>Gestión deficiente de las contraseñas</t>
        </is>
      </c>
    </row>
    <row r="118">
      <c r="A118" s="212" t="n"/>
      <c r="B118" s="1" t="inlineStr">
        <is>
          <t>Habilitación de servicios innecesarios</t>
        </is>
      </c>
    </row>
    <row r="119">
      <c r="A119" s="212" t="n"/>
      <c r="B119" s="1" t="inlineStr">
        <is>
          <t>Software nuevo o inmaduro</t>
        </is>
      </c>
    </row>
    <row r="120">
      <c r="A120" s="212" t="n"/>
      <c r="B120" s="1" t="inlineStr">
        <is>
          <t>Especificaciones incompletas o no claras para los desarrolladores</t>
        </is>
      </c>
    </row>
    <row r="121">
      <c r="A121" s="212" t="n"/>
      <c r="B121" s="1" t="inlineStr">
        <is>
          <t>Ausencia de control de cambios eficaz</t>
        </is>
      </c>
    </row>
    <row r="122">
      <c r="A122" s="212" t="n"/>
      <c r="B122" s="1" t="inlineStr">
        <is>
          <t>Descarga y uso no controlados de software</t>
        </is>
      </c>
    </row>
    <row r="123">
      <c r="A123" s="212" t="n"/>
      <c r="B123" s="1" t="inlineStr">
        <is>
          <t>Ausencia de copias de respaldo</t>
        </is>
      </c>
    </row>
    <row r="124">
      <c r="A124" s="212" t="n"/>
      <c r="B124" s="1" t="inlineStr">
        <is>
          <t>Ausencia de protección física de la edificación, puertas y ventanas</t>
        </is>
      </c>
    </row>
    <row r="125">
      <c r="A125" s="218" t="n"/>
      <c r="B125" s="1" t="inlineStr">
        <is>
          <t>Falla en la producción de informes de gestión</t>
        </is>
      </c>
    </row>
    <row r="126">
      <c r="A126" s="185" t="inlineStr">
        <is>
          <t>Red</t>
        </is>
      </c>
      <c r="B126" s="1" t="inlineStr">
        <is>
          <t>Ausencia de pruebas de envío o recepción de mensajes</t>
        </is>
      </c>
    </row>
    <row r="127">
      <c r="A127" s="212" t="n"/>
      <c r="B127" s="1" t="inlineStr">
        <is>
          <t>Líneas de comunicación sin protección</t>
        </is>
      </c>
    </row>
    <row r="128">
      <c r="A128" s="212" t="n"/>
      <c r="B128" s="1" t="inlineStr">
        <is>
          <t>Tráfico sensible sin protección</t>
        </is>
      </c>
    </row>
    <row r="129">
      <c r="A129" s="212" t="n"/>
      <c r="B129" s="1" t="inlineStr">
        <is>
          <t>Conexión deficiente de los cables</t>
        </is>
      </c>
    </row>
    <row r="130">
      <c r="A130" s="212" t="n"/>
      <c r="B130" s="1" t="inlineStr">
        <is>
          <t>Punto único de falla</t>
        </is>
      </c>
    </row>
    <row r="131">
      <c r="A131" s="212" t="n"/>
      <c r="B131" s="1" t="inlineStr">
        <is>
          <t>Ausencia de identificación y autentificación de emisor y receptor</t>
        </is>
      </c>
    </row>
    <row r="132">
      <c r="A132" s="212" t="n"/>
      <c r="B132" s="1" t="inlineStr">
        <is>
          <t>Arquitectura insegura de la red</t>
        </is>
      </c>
    </row>
    <row r="133">
      <c r="A133" s="212" t="n"/>
      <c r="B133" s="1" t="inlineStr">
        <is>
          <t>Transferencia de contraseeñas en claro</t>
        </is>
      </c>
    </row>
    <row r="134">
      <c r="A134" s="212" t="n"/>
      <c r="B134" s="1" t="inlineStr">
        <is>
          <t>Gestión inadecuada de la red (Tolerancia a fallas en el enrutamiento)</t>
        </is>
      </c>
    </row>
    <row r="135">
      <c r="A135" s="218" t="n"/>
      <c r="B135" s="1" t="inlineStr">
        <is>
          <t>Conexiones de red pública sin protección</t>
        </is>
      </c>
    </row>
    <row r="136">
      <c r="A136" s="185" t="inlineStr">
        <is>
          <t>Personal</t>
        </is>
      </c>
      <c r="B136" s="1" t="inlineStr">
        <is>
          <t>Ausencia de personal</t>
        </is>
      </c>
    </row>
    <row r="137">
      <c r="A137" s="212" t="n"/>
      <c r="B137" s="1" t="inlineStr">
        <is>
          <t>Procedimientos inadecuados de contratación</t>
        </is>
      </c>
    </row>
    <row r="138">
      <c r="A138" s="212" t="n"/>
      <c r="B138" s="1" t="inlineStr">
        <is>
          <t>Entrenamiento insuficienteen seguridad</t>
        </is>
      </c>
    </row>
    <row r="139">
      <c r="A139" s="212" t="n"/>
      <c r="B139" s="1" t="inlineStr">
        <is>
          <t>Uso incorrecto de software y hardware</t>
        </is>
      </c>
    </row>
    <row r="140">
      <c r="A140" s="212" t="n"/>
      <c r="B140" s="1" t="inlineStr">
        <is>
          <t>Falta de conciencia acerca de la seguridad</t>
        </is>
      </c>
    </row>
    <row r="141">
      <c r="A141" s="212" t="n"/>
      <c r="B141" s="1" t="inlineStr">
        <is>
          <t>Ausencia de mecanismos de monitoreo</t>
        </is>
      </c>
    </row>
    <row r="142">
      <c r="A142" s="212" t="n"/>
      <c r="B142" s="1" t="inlineStr">
        <is>
          <t>Trabajo no supervisado de personal externo o de limpieza</t>
        </is>
      </c>
    </row>
    <row r="143">
      <c r="A143" s="218" t="n"/>
      <c r="B143" s="1" t="inlineStr">
        <is>
          <t>Ausencia de políticas para el uso correcto de los medios de telecomunicaciones y mensajería</t>
        </is>
      </c>
    </row>
    <row r="144">
      <c r="A144" s="185" t="inlineStr">
        <is>
          <t>Lugar</t>
        </is>
      </c>
      <c r="B144" s="1" t="inlineStr">
        <is>
          <t>Uso inadecuado o descuidado del control de acceso físico a las edificaciones y los recintos</t>
        </is>
      </c>
    </row>
    <row r="145">
      <c r="A145" s="212" t="n"/>
      <c r="B145" s="1" t="inlineStr">
        <is>
          <t>Ubicación en un área susceptible de inundación</t>
        </is>
      </c>
    </row>
    <row r="146">
      <c r="A146" s="212" t="n"/>
      <c r="B146" s="1" t="inlineStr">
        <is>
          <t>Red energética inestable</t>
        </is>
      </c>
    </row>
    <row r="147">
      <c r="A147" s="218" t="n"/>
      <c r="B147" s="1" t="inlineStr">
        <is>
          <t>Ausencia de protección física de la edificación, puertas y ventanas</t>
        </is>
      </c>
    </row>
    <row r="148">
      <c r="A148" s="185" t="inlineStr">
        <is>
          <t>Organización</t>
        </is>
      </c>
      <c r="B148" s="1" t="inlineStr">
        <is>
          <t>Ausencia de procedimiento formal para el registro y retiro de usuarios</t>
        </is>
      </c>
    </row>
    <row r="149">
      <c r="A149" s="212" t="n"/>
      <c r="B149" s="1" t="inlineStr">
        <is>
          <t>Ausencia de proceso formal para la revisión (supervisión) de los derechos de acceso</t>
        </is>
      </c>
    </row>
    <row r="150">
      <c r="A150" s="212" t="n"/>
      <c r="B150" s="1" t="inlineStr">
        <is>
          <t>Ausencia o insuficiencia de disposiciones (con respecto a la seguridad) en los contratos con los clientes y / o terceras partes</t>
        </is>
      </c>
    </row>
    <row r="151">
      <c r="A151" s="212" t="n"/>
      <c r="B151" s="1" t="inlineStr">
        <is>
          <t>Ausencia de procedimiento de monitoreo de los recursos de procesamiento de información</t>
        </is>
      </c>
    </row>
    <row r="152">
      <c r="A152" s="212" t="n"/>
      <c r="B152" s="1" t="inlineStr">
        <is>
          <t>Ausencia de auditorías (supervisiones) regulares</t>
        </is>
      </c>
    </row>
    <row r="153">
      <c r="A153" s="212" t="n"/>
      <c r="B153" s="1" t="inlineStr">
        <is>
          <t>Ausencia de procedimientos de identificación y valoración de riesgos</t>
        </is>
      </c>
    </row>
    <row r="154">
      <c r="A154" s="212" t="n"/>
      <c r="B154" s="1" t="inlineStr">
        <is>
          <t>Ausencia de reportes de fallas en los registros de admnistradores y operadores</t>
        </is>
      </c>
    </row>
    <row r="155">
      <c r="A155" s="212" t="n"/>
      <c r="B155" s="1" t="inlineStr">
        <is>
          <t>Respuesta inadecuada de mantenimiento del servicio</t>
        </is>
      </c>
    </row>
    <row r="156">
      <c r="A156" s="212" t="n"/>
      <c r="B156" s="1" t="inlineStr">
        <is>
          <t>Ausencia de acuerdos de nivel de servicio, o insuficiena en los mismos</t>
        </is>
      </c>
    </row>
    <row r="157">
      <c r="A157" s="212" t="n"/>
      <c r="B157" s="1" t="inlineStr">
        <is>
          <t>Ausencia de procedimiento de control de cambios</t>
        </is>
      </c>
    </row>
    <row r="158">
      <c r="A158" s="212" t="n"/>
      <c r="B158" s="1" t="inlineStr">
        <is>
          <t>Ausencia de procedimiento formal para el control de la documentación del SGSI</t>
        </is>
      </c>
    </row>
    <row r="159">
      <c r="A159" s="212" t="n"/>
      <c r="B159" s="1" t="inlineStr">
        <is>
          <t>Ausencia de procedimiento formal para la supervisión del registro del SGSI</t>
        </is>
      </c>
    </row>
    <row r="160">
      <c r="A160" s="212" t="n"/>
      <c r="B160" s="1" t="inlineStr">
        <is>
          <t>Ausencia de procedimiento formal para la autorización de la información disponible al público</t>
        </is>
      </c>
    </row>
    <row r="161">
      <c r="A161" s="212" t="n"/>
      <c r="B161" s="1" t="inlineStr">
        <is>
          <t>Ausencia de asignación adecuada de responsabilidades en la seguridad de la información</t>
        </is>
      </c>
    </row>
    <row r="162">
      <c r="A162" s="212" t="n"/>
      <c r="B162" s="1" t="inlineStr">
        <is>
          <t>Ausencia de planes de continuidad</t>
        </is>
      </c>
    </row>
    <row r="163">
      <c r="A163" s="212" t="n"/>
      <c r="B163" s="1" t="inlineStr">
        <is>
          <t>Ausencia de políticas sobre el uso de correo electrónico</t>
        </is>
      </c>
    </row>
    <row r="164">
      <c r="A164" s="212" t="n"/>
      <c r="B164" s="1" t="inlineStr">
        <is>
          <t>Ausencia de procedimientos para la introducción de software en los sistemas operativos</t>
        </is>
      </c>
    </row>
    <row r="165">
      <c r="A165" s="212" t="n"/>
      <c r="B165" s="1" t="inlineStr">
        <is>
          <t>Ausencia de registros en las bitácoras (logs) de administrador y operario</t>
        </is>
      </c>
    </row>
    <row r="166">
      <c r="A166" s="212" t="n"/>
      <c r="B166" s="1" t="inlineStr">
        <is>
          <t>Ausencia de procedimientos para el manejo de la información clasificada</t>
        </is>
      </c>
    </row>
    <row r="167">
      <c r="A167" s="212" t="n"/>
      <c r="B167" s="1" t="inlineStr">
        <is>
          <t>Ausencia de responsabilidades de la seguridad de la información en la descripción de los cargos</t>
        </is>
      </c>
    </row>
    <row r="168">
      <c r="A168" s="212" t="n"/>
      <c r="B168" s="1" t="inlineStr">
        <is>
          <t>Ausencia o insuficienca en las disposiciones (con respecto a la seguridad de la información) en los contratos con los empleados</t>
        </is>
      </c>
    </row>
    <row r="169">
      <c r="A169" s="212" t="n"/>
      <c r="B169" s="1" t="inlineStr">
        <is>
          <t>Ausencia de procesos disciplinarios definidos en el caso de incidentes de seguridad de la información</t>
        </is>
      </c>
    </row>
    <row r="170">
      <c r="A170" s="212" t="n"/>
      <c r="B170" s="1" t="inlineStr">
        <is>
          <t>Ausencia de política formal sobre la utilización de computadores portátiles</t>
        </is>
      </c>
    </row>
    <row r="171">
      <c r="A171" s="212" t="n"/>
      <c r="B171" s="1" t="inlineStr">
        <is>
          <t>Ausencia de control de los activos que se encuentran fuera de las instalaciones</t>
        </is>
      </c>
    </row>
    <row r="172">
      <c r="A172" s="212" t="n"/>
      <c r="B172" s="1" t="inlineStr">
        <is>
          <t>Ausencia o insuficienca de política sobre limpieza de escritorio y de pantalla</t>
        </is>
      </c>
    </row>
    <row r="173">
      <c r="A173" s="212" t="n"/>
      <c r="B173" s="1" t="inlineStr">
        <is>
          <t>Ausencia de autorización de los recursos de procesamiento de la información</t>
        </is>
      </c>
    </row>
    <row r="174">
      <c r="A174" s="212" t="n"/>
      <c r="B174" s="1" t="inlineStr">
        <is>
          <t>Ausencia de mecanismos de monitoreo establecidos para las brechas de seguridad</t>
        </is>
      </c>
    </row>
    <row r="175">
      <c r="A175" s="212" t="n"/>
      <c r="B175" s="1" t="inlineStr">
        <is>
          <t>Ausencia de revisiones regulares por parte de la gerencia</t>
        </is>
      </c>
    </row>
    <row r="176">
      <c r="A176" s="212" t="n"/>
      <c r="B176" s="1" t="inlineStr">
        <is>
          <t>Ausencia de proicedimientos para la presentación de los informes sobre debilidades en la seguridad</t>
        </is>
      </c>
    </row>
    <row r="177">
      <c r="A177" s="218" t="n"/>
      <c r="B177" s="1" t="inlineStr">
        <is>
          <t>Ausencia de procedimientos del cumplimiento de las disposiciones con los derechos intelectuales</t>
        </is>
      </c>
    </row>
    <row r="179" ht="18.75" customHeight="1">
      <c r="A179" s="114" t="inlineStr">
        <is>
          <t>TIPO</t>
        </is>
      </c>
      <c r="B179" s="114" t="inlineStr">
        <is>
          <t>AMENAZA</t>
        </is>
      </c>
    </row>
    <row r="180">
      <c r="A180" s="185" t="inlineStr">
        <is>
          <t>Daño físico</t>
        </is>
      </c>
      <c r="B180" s="1" t="inlineStr">
        <is>
          <t>Fuego</t>
        </is>
      </c>
    </row>
    <row r="181">
      <c r="A181" s="212" t="n"/>
      <c r="B181" s="1" t="inlineStr">
        <is>
          <t>Daño por agua</t>
        </is>
      </c>
    </row>
    <row r="182">
      <c r="A182" s="212" t="n"/>
      <c r="B182" s="1" t="inlineStr">
        <is>
          <t>Contaminación</t>
        </is>
      </c>
    </row>
    <row r="183">
      <c r="A183" s="212" t="n"/>
      <c r="B183" s="1" t="inlineStr">
        <is>
          <t>Accidente importante</t>
        </is>
      </c>
    </row>
    <row r="184">
      <c r="A184" s="212" t="n"/>
      <c r="B184" s="1" t="inlineStr">
        <is>
          <t>Destrucción del equipo o los medios</t>
        </is>
      </c>
    </row>
    <row r="185">
      <c r="A185" s="218" t="n"/>
      <c r="B185" s="1" t="inlineStr">
        <is>
          <t>Polvo, corrosión, congelamiento</t>
        </is>
      </c>
    </row>
    <row r="186">
      <c r="A186" s="185" t="inlineStr">
        <is>
          <t>Eventos naturales</t>
        </is>
      </c>
      <c r="B186" s="1" t="inlineStr">
        <is>
          <t>Fenómenos sísmicos</t>
        </is>
      </c>
    </row>
    <row r="187">
      <c r="A187" s="212" t="n"/>
      <c r="B187" s="1" t="inlineStr">
        <is>
          <t>Fenómenos climáticos</t>
        </is>
      </c>
    </row>
    <row r="188">
      <c r="A188" s="212" t="n"/>
      <c r="B188" s="1" t="inlineStr">
        <is>
          <t>Fenómenos volcánicos</t>
        </is>
      </c>
    </row>
    <row r="189">
      <c r="A189" s="212" t="n"/>
      <c r="B189" s="1" t="inlineStr">
        <is>
          <t>Fenómenos mteorológicos</t>
        </is>
      </c>
    </row>
    <row r="190">
      <c r="A190" s="218" t="n"/>
      <c r="B190" s="1" t="inlineStr">
        <is>
          <t>Inundación</t>
        </is>
      </c>
    </row>
    <row r="191">
      <c r="A191" s="185" t="inlineStr">
        <is>
          <t>Pérdida de los servicios esenciales</t>
        </is>
      </c>
      <c r="B191" s="1" t="inlineStr">
        <is>
          <t>Falla en el suministro de agua o de aire acondicionado</t>
        </is>
      </c>
    </row>
    <row r="192">
      <c r="A192" s="212" t="n"/>
      <c r="B192" s="1" t="inlineStr">
        <is>
          <t>Pérdida de suministro de energía</t>
        </is>
      </c>
    </row>
    <row r="193">
      <c r="A193" s="218" t="n"/>
      <c r="B193" s="1" t="inlineStr">
        <is>
          <t>Falla en el equipo de telecomunicaciones</t>
        </is>
      </c>
    </row>
    <row r="194">
      <c r="A194" s="185" t="inlineStr">
        <is>
          <t>Perturbación debida a la radiación</t>
        </is>
      </c>
      <c r="B194" s="1" t="inlineStr">
        <is>
          <t>Radiación electromagnética</t>
        </is>
      </c>
    </row>
    <row r="195">
      <c r="A195" s="212" t="n"/>
      <c r="B195" s="1" t="inlineStr">
        <is>
          <t>Radiación térmica</t>
        </is>
      </c>
    </row>
    <row r="196">
      <c r="A196" s="218" t="n"/>
      <c r="B196" s="1" t="inlineStr">
        <is>
          <t>Impulsos electromagnéticos</t>
        </is>
      </c>
    </row>
    <row r="197">
      <c r="A197" s="185" t="inlineStr">
        <is>
          <t>Compromiso de la información</t>
        </is>
      </c>
      <c r="B197" s="1" t="inlineStr">
        <is>
          <t>Espionaje remoto</t>
        </is>
      </c>
    </row>
    <row r="198">
      <c r="A198" s="212" t="n"/>
      <c r="B198" s="1" t="inlineStr">
        <is>
          <t>Escucha encubierta</t>
        </is>
      </c>
    </row>
    <row r="199">
      <c r="A199" s="212" t="n"/>
      <c r="B199" s="1" t="inlineStr">
        <is>
          <t>Hurto de medios o documentos</t>
        </is>
      </c>
    </row>
    <row r="200">
      <c r="A200" s="212" t="n"/>
      <c r="B200" s="1" t="inlineStr">
        <is>
          <t>Hurto de equipo</t>
        </is>
      </c>
    </row>
    <row r="201">
      <c r="A201" s="212" t="n"/>
      <c r="B201" s="1" t="inlineStr">
        <is>
          <t>Recuperación de medios reciclados o desechados</t>
        </is>
      </c>
    </row>
    <row r="202">
      <c r="A202" s="212" t="n"/>
      <c r="B202" s="1" t="inlineStr">
        <is>
          <t>Divulgación</t>
        </is>
      </c>
    </row>
    <row r="203">
      <c r="A203" s="212" t="n"/>
      <c r="B203" s="1" t="inlineStr">
        <is>
          <t>Datos provenientes de fuentes no confiables</t>
        </is>
      </c>
    </row>
    <row r="204">
      <c r="A204" s="212" t="n"/>
      <c r="B204" s="1" t="inlineStr">
        <is>
          <t>Manipulación con hardware</t>
        </is>
      </c>
    </row>
    <row r="205">
      <c r="A205" s="212" t="n"/>
      <c r="B205" s="1" t="inlineStr">
        <is>
          <t>Manipulación con software</t>
        </is>
      </c>
    </row>
    <row r="206">
      <c r="A206" s="218" t="n"/>
      <c r="B206" s="1" t="inlineStr">
        <is>
          <t>Detección de la posición</t>
        </is>
      </c>
    </row>
    <row r="207">
      <c r="A207" s="185" t="inlineStr">
        <is>
          <t>Fallas técnicas</t>
        </is>
      </c>
      <c r="B207" s="1" t="inlineStr">
        <is>
          <t>Falla del equipo</t>
        </is>
      </c>
    </row>
    <row r="208">
      <c r="A208" s="212" t="n"/>
      <c r="B208" s="1" t="inlineStr">
        <is>
          <t>Mal funcionamiento del equipo</t>
        </is>
      </c>
    </row>
    <row r="209">
      <c r="A209" s="212" t="n"/>
      <c r="B209" s="1" t="inlineStr">
        <is>
          <t>Saturación del sistema de información</t>
        </is>
      </c>
    </row>
    <row r="210">
      <c r="A210" s="212" t="n"/>
      <c r="B210" s="1" t="inlineStr">
        <is>
          <t>Mal funcionamiento del software</t>
        </is>
      </c>
    </row>
    <row r="211">
      <c r="A211" s="218" t="n"/>
      <c r="B211" s="1" t="inlineStr">
        <is>
          <t>Incumplimiento en el mantenimiento del sistema de información</t>
        </is>
      </c>
    </row>
    <row r="212">
      <c r="A212" s="185" t="inlineStr">
        <is>
          <t>Acciones no autorizadas</t>
        </is>
      </c>
      <c r="B212" s="1" t="inlineStr">
        <is>
          <t>Uso no autorizado del equipo</t>
        </is>
      </c>
    </row>
    <row r="213">
      <c r="A213" s="212" t="n"/>
      <c r="B213" s="1" t="inlineStr">
        <is>
          <t>Copia fraudulenta del software</t>
        </is>
      </c>
    </row>
    <row r="214">
      <c r="A214" s="212" t="n"/>
      <c r="B214" s="1" t="inlineStr">
        <is>
          <t>Uso de software falso o copiado</t>
        </is>
      </c>
    </row>
    <row r="215">
      <c r="A215" s="212" t="n"/>
      <c r="B215" s="1" t="inlineStr">
        <is>
          <t>Corrupción de los datos</t>
        </is>
      </c>
    </row>
    <row r="216">
      <c r="A216" s="218" t="n"/>
      <c r="B216" s="1" t="inlineStr">
        <is>
          <t>Procesamiento ilegal de los datos</t>
        </is>
      </c>
    </row>
    <row r="217">
      <c r="A217" s="185" t="inlineStr">
        <is>
          <t>Compromiso de las funciones</t>
        </is>
      </c>
      <c r="B217" s="1" t="inlineStr">
        <is>
          <t>Error en el uso</t>
        </is>
      </c>
    </row>
    <row r="218">
      <c r="A218" s="212" t="n"/>
      <c r="B218" s="1" t="inlineStr">
        <is>
          <t>Abuso de derechos</t>
        </is>
      </c>
    </row>
    <row r="219">
      <c r="A219" s="212" t="n"/>
      <c r="B219" s="1" t="inlineStr">
        <is>
          <t>Falsificación de derechos</t>
        </is>
      </c>
    </row>
    <row r="220">
      <c r="A220" s="212" t="n"/>
      <c r="B220" s="1" t="inlineStr">
        <is>
          <t>Negación de acciones</t>
        </is>
      </c>
    </row>
    <row r="221">
      <c r="A221" s="218" t="n"/>
      <c r="B221" s="1" t="inlineStr">
        <is>
          <t>Incumplimiento en la disponibilidad del personal</t>
        </is>
      </c>
    </row>
    <row r="223" ht="18.75" customHeight="1">
      <c r="A223" s="114" t="inlineStr">
        <is>
          <t>TIPO</t>
        </is>
      </c>
      <c r="B223" s="114" t="inlineStr">
        <is>
          <t>CONTROL</t>
        </is>
      </c>
    </row>
    <row r="224">
      <c r="A224" s="185" t="inlineStr">
        <is>
          <t>Protecciones generales u horizontales</t>
        </is>
      </c>
      <c r="B224" s="1" t="inlineStr">
        <is>
          <t>Identificación y autenticación</t>
        </is>
      </c>
    </row>
    <row r="225">
      <c r="A225" s="212" t="n"/>
      <c r="B225" s="1" t="inlineStr">
        <is>
          <t>Control de acceso lógico</t>
        </is>
      </c>
    </row>
    <row r="226">
      <c r="A226" s="212" t="n"/>
      <c r="B226" s="1" t="inlineStr">
        <is>
          <t>Segregación de tareas</t>
        </is>
      </c>
    </row>
    <row r="227">
      <c r="A227" s="212" t="n"/>
      <c r="B227" s="1" t="inlineStr">
        <is>
          <t>Gestión de incidencias</t>
        </is>
      </c>
    </row>
    <row r="228">
      <c r="A228" s="212" t="n"/>
      <c r="B228" s="1" t="inlineStr">
        <is>
          <t>Herramientas de seguridad</t>
        </is>
      </c>
    </row>
    <row r="229">
      <c r="A229" s="212" t="n"/>
      <c r="B229" s="1" t="inlineStr">
        <is>
          <t>Herramienta contra código dañino</t>
        </is>
      </c>
    </row>
    <row r="230">
      <c r="A230" s="212" t="n"/>
      <c r="B230" s="1" t="inlineStr">
        <is>
          <t>IDS/IPS: Herramienta de detección / prevención de intrusión</t>
        </is>
      </c>
    </row>
    <row r="231">
      <c r="A231" s="212" t="n"/>
      <c r="B231" s="1" t="inlineStr">
        <is>
          <t>Herramienta de chequeo de configuración</t>
        </is>
      </c>
    </row>
    <row r="232">
      <c r="A232" s="212" t="n"/>
      <c r="B232" s="1" t="inlineStr">
        <is>
          <t>Herramienta de análisis de vulnerabilidades</t>
        </is>
      </c>
    </row>
    <row r="233">
      <c r="A233" s="212" t="n"/>
      <c r="B233" s="1" t="inlineStr">
        <is>
          <t>Herramienta de monitorización de tráfico</t>
        </is>
      </c>
    </row>
    <row r="234">
      <c r="A234" s="212" t="n"/>
      <c r="B234" s="1" t="inlineStr">
        <is>
          <t xml:space="preserve">DLP: Herramienta de monitorización de contenidos </t>
        </is>
      </c>
    </row>
    <row r="235">
      <c r="A235" s="212" t="n"/>
      <c r="B235" s="1" t="inlineStr">
        <is>
          <t>Herramienta para análisis de logs</t>
        </is>
      </c>
    </row>
    <row r="236">
      <c r="A236" s="212" t="n"/>
      <c r="B236" s="1" t="inlineStr">
        <is>
          <t xml:space="preserve">Honey net / honey pot </t>
        </is>
      </c>
    </row>
    <row r="237">
      <c r="A237" s="212" t="n"/>
      <c r="B237" s="1" t="inlineStr">
        <is>
          <t>Verificación de las funciones de seguridad</t>
        </is>
      </c>
    </row>
    <row r="238">
      <c r="A238" s="212" t="n"/>
      <c r="B238" s="1" t="inlineStr">
        <is>
          <t>Gestión de vulnerabilidades</t>
        </is>
      </c>
    </row>
    <row r="239">
      <c r="A239" s="218" t="n"/>
      <c r="B239" s="1" t="inlineStr">
        <is>
          <t>Registro y auditoría</t>
        </is>
      </c>
    </row>
    <row r="240">
      <c r="A240" s="185" t="inlineStr">
        <is>
          <t>Protección de los datos / información</t>
        </is>
      </c>
      <c r="B240" s="1" t="inlineStr">
        <is>
          <t>Protección de la Información</t>
        </is>
      </c>
    </row>
    <row r="241">
      <c r="A241" s="212" t="n"/>
      <c r="B241" s="1" t="inlineStr">
        <is>
          <t>Copias de seguridad de los datos (backup)</t>
        </is>
      </c>
    </row>
    <row r="242">
      <c r="A242" s="212" t="n"/>
      <c r="B242" s="1" t="inlineStr">
        <is>
          <t>Aseguramiento de la integridad</t>
        </is>
      </c>
    </row>
    <row r="243">
      <c r="A243" s="212" t="n"/>
      <c r="B243" s="1" t="inlineStr">
        <is>
          <t>Cifrado de la información</t>
        </is>
      </c>
    </row>
    <row r="244">
      <c r="A244" s="212" t="n"/>
      <c r="B244" s="1" t="inlineStr">
        <is>
          <t>Uso de firmas electrónicas</t>
        </is>
      </c>
    </row>
    <row r="245">
      <c r="A245" s="218" t="n"/>
      <c r="B245" s="1" t="inlineStr">
        <is>
          <t>Uso de servicios de fechado electrónico (time stamping)</t>
        </is>
      </c>
    </row>
    <row r="246">
      <c r="A246" s="185" t="inlineStr">
        <is>
          <t>Protección de las claves criptográficas</t>
        </is>
      </c>
      <c r="B246" s="1" t="inlineStr">
        <is>
          <t>Gestión de claves criptográficas</t>
        </is>
      </c>
    </row>
    <row r="247">
      <c r="A247" s="212" t="n"/>
      <c r="B247" s="1" t="inlineStr">
        <is>
          <t>Gestión de claves de cifra de información</t>
        </is>
      </c>
    </row>
    <row r="248">
      <c r="A248" s="212" t="n"/>
      <c r="B248" s="1" t="inlineStr">
        <is>
          <t>Gestión de claves de firma de información</t>
        </is>
      </c>
    </row>
    <row r="249">
      <c r="A249" s="212" t="n"/>
      <c r="B249" s="1" t="inlineStr">
        <is>
          <t>Gestión de claves para contenedores criptográficos</t>
        </is>
      </c>
    </row>
    <row r="250">
      <c r="A250" s="212" t="n"/>
      <c r="B250" s="1" t="inlineStr">
        <is>
          <t>Gestión de claves de comunicaciones</t>
        </is>
      </c>
    </row>
    <row r="251">
      <c r="A251" s="218" t="n"/>
      <c r="B251" s="1" t="inlineStr">
        <is>
          <t>Gestión de certificados</t>
        </is>
      </c>
    </row>
    <row r="252">
      <c r="A252" s="185" t="inlineStr">
        <is>
          <t>Protección de los Servicios</t>
        </is>
      </c>
      <c r="B252" s="1" t="inlineStr">
        <is>
          <t>Aseguramiento de la disponibilidad</t>
        </is>
      </c>
    </row>
    <row r="253">
      <c r="A253" s="212" t="n"/>
      <c r="B253" s="1" t="inlineStr">
        <is>
          <t>Aceptación y puesta en operación</t>
        </is>
      </c>
    </row>
    <row r="254">
      <c r="A254" s="212" t="n"/>
      <c r="B254" s="1" t="inlineStr">
        <is>
          <t>Se aplican perfiles de seguridad</t>
        </is>
      </c>
    </row>
    <row r="255">
      <c r="A255" s="212" t="n"/>
      <c r="B255" s="1" t="inlineStr">
        <is>
          <t>Gestión de cambios (mejoras y sustituciones)</t>
        </is>
      </c>
    </row>
    <row r="256">
      <c r="A256" s="212" t="n"/>
      <c r="B256" s="1" t="inlineStr">
        <is>
          <t>Protección de servicios y aplicaciones web</t>
        </is>
      </c>
    </row>
    <row r="257">
      <c r="A257" s="212" t="n"/>
      <c r="B257" s="1" t="inlineStr">
        <is>
          <t>Protección del correo electrónico</t>
        </is>
      </c>
    </row>
    <row r="258">
      <c r="A258" s="212" t="n"/>
      <c r="B258" s="1" t="inlineStr">
        <is>
          <t>Protección del directorio</t>
        </is>
      </c>
    </row>
    <row r="259">
      <c r="A259" s="218" t="n"/>
      <c r="B259" s="1" t="inlineStr">
        <is>
          <t>Protección del servidor de nombres de dominio (DNS)</t>
        </is>
      </c>
    </row>
    <row r="260">
      <c r="A260" s="185" t="inlineStr">
        <is>
          <t>Protección de las aplicaciones (software)</t>
        </is>
      </c>
      <c r="B260" s="1" t="inlineStr">
        <is>
          <t>Copias de seguridad (backup)</t>
        </is>
      </c>
    </row>
    <row r="261">
      <c r="A261" s="212" t="n"/>
      <c r="B261" s="1" t="inlineStr">
        <is>
          <t>Puesta en producción</t>
        </is>
      </c>
    </row>
    <row r="262">
      <c r="A262" s="212" t="n"/>
      <c r="B262" s="1" t="inlineStr">
        <is>
          <t>Se aplican perfiles de seguridad</t>
        </is>
      </c>
    </row>
    <row r="263">
      <c r="A263" s="218" t="n"/>
      <c r="B263" s="1" t="inlineStr">
        <is>
          <t>Cambios (actualizaciones y mantenimiento)</t>
        </is>
      </c>
    </row>
    <row r="264">
      <c r="A264" s="185" t="inlineStr">
        <is>
          <t>Protección de los equipos (hardware)</t>
        </is>
      </c>
      <c r="B264" s="1" t="inlineStr">
        <is>
          <t>Se aplican perfiles de seguridad</t>
        </is>
      </c>
    </row>
    <row r="265">
      <c r="A265" s="212" t="n"/>
      <c r="B265" s="1" t="inlineStr">
        <is>
          <t>Aseguramiento de la disponibilidad</t>
        </is>
      </c>
    </row>
    <row r="266">
      <c r="A266" s="212" t="n"/>
      <c r="B266" s="1" t="inlineStr">
        <is>
          <t>Cambios (actualizaciones y mantenimiento)</t>
        </is>
      </c>
    </row>
    <row r="267">
      <c r="A267" s="218" t="n"/>
      <c r="B267" s="1" t="inlineStr">
        <is>
          <t>Reproducción de documentos</t>
        </is>
      </c>
    </row>
    <row r="268">
      <c r="A268" s="185" t="inlineStr">
        <is>
          <t>Protección de las comunicaciones</t>
        </is>
      </c>
      <c r="B268" s="1" t="inlineStr">
        <is>
          <t>Aseguramiento de la disponibilidad</t>
        </is>
      </c>
    </row>
    <row r="269">
      <c r="A269" s="212" t="n"/>
      <c r="B269" s="1" t="inlineStr">
        <is>
          <t>Autenticación del canal</t>
        </is>
      </c>
    </row>
    <row r="270">
      <c r="A270" s="212" t="n"/>
      <c r="B270" s="1" t="inlineStr">
        <is>
          <t>Protección de la integridad de los datos intercambiados</t>
        </is>
      </c>
    </row>
    <row r="271">
      <c r="A271" s="212" t="n"/>
      <c r="B271" s="1" t="inlineStr">
        <is>
          <t>Protección criptográfica de la confidencialidad de los datos intercambiados</t>
        </is>
      </c>
    </row>
    <row r="272">
      <c r="A272" s="212" t="n"/>
      <c r="B272" s="1" t="inlineStr">
        <is>
          <t>Cambios (actualizaciones y mantenimiento)</t>
        </is>
      </c>
    </row>
    <row r="273">
      <c r="A273" s="212" t="n"/>
      <c r="B273" s="1" t="inlineStr">
        <is>
          <t>Seguridad Wireless (WiFi)</t>
        </is>
      </c>
    </row>
    <row r="274">
      <c r="A274" s="218" t="n"/>
      <c r="B274" s="1" t="inlineStr">
        <is>
          <t>Segregación de las redes en dominios</t>
        </is>
      </c>
    </row>
    <row r="275">
      <c r="A275" s="185" t="inlineStr">
        <is>
          <t>Protección de los soportes de información</t>
        </is>
      </c>
      <c r="B275" s="1" t="inlineStr">
        <is>
          <t>Protección criptográfica del contenido</t>
        </is>
      </c>
    </row>
    <row r="276">
      <c r="A276" s="212" t="n"/>
      <c r="B276" s="1" t="inlineStr">
        <is>
          <t>Limpieza de contenidos</t>
        </is>
      </c>
    </row>
    <row r="277">
      <c r="A277" s="218" t="n"/>
      <c r="B277" s="1" t="inlineStr">
        <is>
          <t>Destrucción de soportes</t>
        </is>
      </c>
    </row>
    <row r="278">
      <c r="A278" s="185" t="inlineStr">
        <is>
          <t>Seguridad física – Protección de las instalaciones</t>
        </is>
      </c>
      <c r="B278" s="1" t="inlineStr">
        <is>
          <t>Defensa en profundidad</t>
        </is>
      </c>
    </row>
    <row r="279">
      <c r="A279" s="212" t="n"/>
      <c r="B279" s="1" t="inlineStr">
        <is>
          <t>Control de los accesos físicos</t>
        </is>
      </c>
    </row>
    <row r="280">
      <c r="A280" s="218" t="n"/>
      <c r="B280" s="1" t="inlineStr">
        <is>
          <t>Aseguramiento de la disponibilidad</t>
        </is>
      </c>
    </row>
    <row r="281">
      <c r="A281" s="185" t="inlineStr">
        <is>
          <t>Controles relativos al personal</t>
        </is>
      </c>
      <c r="B281" s="1" t="inlineStr">
        <is>
          <t>Formación y concienciación</t>
        </is>
      </c>
    </row>
    <row r="282">
      <c r="A282" s="218" t="n"/>
      <c r="B282" s="1" t="inlineStr">
        <is>
          <t>Aseguramiento de la disponibilidad</t>
        </is>
      </c>
    </row>
    <row r="283">
      <c r="A283" s="185" t="inlineStr">
        <is>
          <t>Controles de tipo organizativo</t>
        </is>
      </c>
      <c r="B283" s="1" t="inlineStr">
        <is>
          <t>Gestión de riesgos</t>
        </is>
      </c>
    </row>
    <row r="284">
      <c r="A284" s="212" t="n"/>
      <c r="B284" s="1" t="inlineStr">
        <is>
          <t>Planificación de la seguridad</t>
        </is>
      </c>
    </row>
    <row r="285">
      <c r="A285" s="218" t="n"/>
      <c r="B285" s="1" t="inlineStr">
        <is>
          <t>Inspecciones de seguridad</t>
        </is>
      </c>
    </row>
    <row r="286">
      <c r="A286" s="185" t="inlineStr">
        <is>
          <t>Continuidad de operaciones</t>
        </is>
      </c>
      <c r="B286" s="1" t="inlineStr">
        <is>
          <t>Análisis de impacto (BIA)</t>
        </is>
      </c>
    </row>
    <row r="287">
      <c r="A287" s="218" t="n"/>
      <c r="B287" s="1" t="inlineStr">
        <is>
          <t>Plan de Recuperación de Desastres (DRP)</t>
        </is>
      </c>
    </row>
  </sheetData>
  <mergeCells count="27">
    <mergeCell ref="A278:A280"/>
    <mergeCell ref="A148:A177"/>
    <mergeCell ref="A194:A196"/>
    <mergeCell ref="A281:A282"/>
    <mergeCell ref="A93:A102"/>
    <mergeCell ref="A286:A287"/>
    <mergeCell ref="A180:A185"/>
    <mergeCell ref="A264:A267"/>
    <mergeCell ref="A246:A251"/>
    <mergeCell ref="A186:A190"/>
    <mergeCell ref="A224:A239"/>
    <mergeCell ref="A103:A125"/>
    <mergeCell ref="A197:A206"/>
    <mergeCell ref="A275:A277"/>
    <mergeCell ref="A252:A259"/>
    <mergeCell ref="A144:A147"/>
    <mergeCell ref="A191:A193"/>
    <mergeCell ref="A207:A211"/>
    <mergeCell ref="A136:A143"/>
    <mergeCell ref="A240:A245"/>
    <mergeCell ref="A126:A135"/>
    <mergeCell ref="A212:A216"/>
    <mergeCell ref="A283:A285"/>
    <mergeCell ref="A83:B83"/>
    <mergeCell ref="A217:A221"/>
    <mergeCell ref="A268:A274"/>
    <mergeCell ref="A260:A263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R26"/>
  <sheetViews>
    <sheetView topLeftCell="E1" zoomScale="85" zoomScaleNormal="85" workbookViewId="0">
      <selection activeCell="N7" sqref="N7:P7"/>
    </sheetView>
  </sheetViews>
  <sheetFormatPr baseColWidth="8" defaultColWidth="11.5703125" defaultRowHeight="12.75"/>
  <cols>
    <col width="15.28515625" bestFit="1" customWidth="1" style="70" min="1" max="1"/>
    <col width="14" customWidth="1" style="70" min="2" max="2"/>
    <col width="61.140625" customWidth="1" style="70" min="3" max="3"/>
    <col width="4.28515625" customWidth="1" style="70" min="4" max="4"/>
    <col width="24.28515625" customWidth="1" style="70" min="5" max="5"/>
    <col width="9.42578125" bestFit="1" customWidth="1" style="70" min="6" max="6"/>
    <col width="11.5703125" customWidth="1" style="70" min="7" max="7"/>
    <col width="9.7109375" bestFit="1" customWidth="1" style="70" min="8" max="8"/>
    <col width="13.5703125" bestFit="1" customWidth="1" style="70" min="9" max="9"/>
    <col hidden="1" width="2.7109375" customWidth="1" style="70" min="10" max="10"/>
    <col width="8.28515625" bestFit="1" customWidth="1" style="70" min="11" max="11"/>
    <col width="9.28515625" bestFit="1" customWidth="1" style="70" min="12" max="12"/>
    <col width="11.5703125" customWidth="1" style="70" min="13" max="15"/>
    <col width="12.42578125" bestFit="1" customWidth="1" style="70" min="16" max="16"/>
    <col width="11.5703125" customWidth="1" style="70" min="17" max="16384"/>
  </cols>
  <sheetData>
    <row r="1" ht="18.75" customHeight="1" thickBot="1">
      <c r="A1" s="191" t="inlineStr">
        <is>
          <t>PROBABILIDAD</t>
        </is>
      </c>
      <c r="B1" s="233" t="n"/>
      <c r="C1" s="233" t="n"/>
      <c r="E1" s="192" t="inlineStr">
        <is>
          <t>Escenario de riesgo (Activo-Amenaza)</t>
        </is>
      </c>
      <c r="F1" s="193" t="inlineStr">
        <is>
          <t>PROBABILIDAD</t>
        </is>
      </c>
      <c r="G1" s="209" t="n"/>
      <c r="H1" s="209" t="n"/>
      <c r="I1" s="209" t="n"/>
      <c r="J1" s="209" t="n"/>
      <c r="K1" s="195" t="n"/>
      <c r="L1" s="193" t="inlineStr">
        <is>
          <t>IMPACTO</t>
        </is>
      </c>
    </row>
    <row r="2" ht="26.25" customHeight="1" thickBot="1">
      <c r="A2" s="71" t="inlineStr">
        <is>
          <t xml:space="preserve">Valor </t>
        </is>
      </c>
      <c r="B2" s="71" t="inlineStr">
        <is>
          <t xml:space="preserve">Habilidad </t>
        </is>
      </c>
      <c r="C2" s="72" t="inlineStr">
        <is>
          <t xml:space="preserve">Nivel de conocimiento y experiencia requerido para explotar una vulnerabilidad.  </t>
        </is>
      </c>
      <c r="E2" s="218" t="n"/>
      <c r="F2" s="73" t="inlineStr">
        <is>
          <t>Habilidad</t>
        </is>
      </c>
      <c r="G2" s="73" t="inlineStr">
        <is>
          <t>Motivación</t>
        </is>
      </c>
      <c r="H2" s="73" t="inlineStr">
        <is>
          <t>Recursos</t>
        </is>
      </c>
      <c r="I2" s="73" t="inlineStr">
        <is>
          <t>Accesabilidad</t>
        </is>
      </c>
      <c r="J2" s="74" t="n"/>
      <c r="K2" s="73" t="inlineStr">
        <is>
          <t>TOTAL</t>
        </is>
      </c>
      <c r="L2" s="218" t="n"/>
      <c r="N2" s="194" t="inlineStr">
        <is>
          <t>ACEPTABILIDAD</t>
        </is>
      </c>
      <c r="O2" s="214" t="n"/>
      <c r="P2" s="214" t="n"/>
    </row>
    <row r="3" ht="26.25" customHeight="1" thickBot="1">
      <c r="A3" s="75" t="n">
        <v>1</v>
      </c>
      <c r="B3" s="76" t="inlineStr">
        <is>
          <t xml:space="preserve">Alto </t>
        </is>
      </c>
      <c r="C3" s="77" t="inlineStr">
        <is>
          <t xml:space="preserve">Se requiere altos conocimientos sobre el sistema o plataforma, con temas especializados de SO y redes. </t>
        </is>
      </c>
      <c r="E3" s="74" t="inlineStr">
        <is>
          <t>Ataque PC</t>
        </is>
      </c>
      <c r="F3" s="78" t="n">
        <v>2</v>
      </c>
      <c r="G3" s="78" t="n">
        <v>3</v>
      </c>
      <c r="H3" s="78" t="n">
        <v>3</v>
      </c>
      <c r="I3" s="78" t="n">
        <v>1</v>
      </c>
      <c r="J3" s="78">
        <f>AVERAGE(F3:I3)</f>
        <v/>
      </c>
      <c r="K3" s="78">
        <f>IF(AND(J3&gt;=2.25,J3&lt;=3)=TRUE,"Alto-3",(IF(AND(J3&gt;=1.5,J3&lt;2.25)=TRUE,"Medio-2","Bajo-1")))</f>
        <v/>
      </c>
      <c r="L3" s="79" t="n">
        <v>3</v>
      </c>
      <c r="M3" s="80" t="n">
        <v>3</v>
      </c>
      <c r="N3" s="81" t="n">
        <v>0.3333333333333333</v>
      </c>
      <c r="O3" s="82" t="n">
        <v>0.6666666666666666</v>
      </c>
      <c r="P3" s="82" t="n">
        <v>1</v>
      </c>
      <c r="R3" s="83" t="inlineStr">
        <is>
          <t>Aceptable</t>
        </is>
      </c>
    </row>
    <row r="4" ht="26.25" customHeight="1" thickBot="1">
      <c r="A4" s="75" t="n">
        <v>2</v>
      </c>
      <c r="B4" s="76" t="inlineStr">
        <is>
          <t xml:space="preserve">Medio </t>
        </is>
      </c>
      <c r="C4" s="77" t="inlineStr">
        <is>
          <t xml:space="preserve">Se requieren conocimientos básicos para realizar tareas administrativas. </t>
        </is>
      </c>
      <c r="E4" s="74" t="n"/>
      <c r="F4" s="78" t="n">
        <v>3</v>
      </c>
      <c r="G4" s="78" t="n">
        <v>2</v>
      </c>
      <c r="H4" s="78" t="n">
        <v>1</v>
      </c>
      <c r="I4" s="78" t="n">
        <v>1</v>
      </c>
      <c r="J4" s="78">
        <f>AVERAGE(F4:I4)</f>
        <v/>
      </c>
      <c r="K4" s="78">
        <f>IF(AND(J4&gt;=2.25,J4&lt;=3)=TRUE,"Alto-3",(IF(AND(J4&gt;=1.5,J4&lt;2.25)=TRUE,"Medio-2","Bajo-1")))</f>
        <v/>
      </c>
      <c r="L4" s="79" t="n">
        <v>1</v>
      </c>
      <c r="M4" s="80" t="n">
        <v>2</v>
      </c>
      <c r="N4" s="84" t="n">
        <v>0.2222222222222222</v>
      </c>
      <c r="O4" s="81" t="n">
        <v>0.4444444444444444</v>
      </c>
      <c r="P4" s="82" t="n">
        <v>0.6666666666666666</v>
      </c>
      <c r="R4" s="85" t="inlineStr">
        <is>
          <t>Tolerable</t>
        </is>
      </c>
    </row>
    <row r="5" ht="39" customHeight="1" thickBot="1">
      <c r="A5" s="75" t="n">
        <v>3</v>
      </c>
      <c r="B5" s="76" t="inlineStr">
        <is>
          <t xml:space="preserve">Bajo </t>
        </is>
      </c>
      <c r="C5" s="77" t="inlineStr">
        <is>
          <t xml:space="preserve">Se requiere de conocimientos elementales de operación y administraciónde computadores, redes, de sentencias SQL o comandos basicos a nivel de SO </t>
        </is>
      </c>
      <c r="E5" s="74" t="n"/>
      <c r="F5" s="78" t="n"/>
      <c r="G5" s="78" t="n"/>
      <c r="H5" s="78" t="n"/>
      <c r="I5" s="78" t="n">
        <v>1</v>
      </c>
      <c r="J5" s="78">
        <f>AVERAGE(F5:I5)</f>
        <v/>
      </c>
      <c r="K5" s="78">
        <f>IF(AND(J5&gt;=2.25,J5&lt;=3)=TRUE,"Alto-3",(IF(AND(J5&gt;=1.5,J5&lt;2.25)=TRUE,"Medio-2","Bajo-1")))</f>
        <v/>
      </c>
      <c r="L5" s="79" t="n">
        <v>1</v>
      </c>
      <c r="M5" s="86" t="n">
        <v>1</v>
      </c>
      <c r="N5" s="84" t="n">
        <v>0.1111111111111111</v>
      </c>
      <c r="O5" s="84" t="n">
        <v>0.2222222222222222</v>
      </c>
      <c r="P5" s="81" t="n">
        <v>0.3333333333333333</v>
      </c>
      <c r="R5" s="87" t="inlineStr">
        <is>
          <t>Inadmisible</t>
        </is>
      </c>
    </row>
    <row r="6" ht="13.5" customHeight="1" thickBot="1">
      <c r="E6" s="74" t="n"/>
      <c r="F6" s="78" t="n"/>
      <c r="G6" s="78" t="n"/>
      <c r="H6" s="78" t="n"/>
      <c r="I6" s="78" t="n">
        <v>1</v>
      </c>
      <c r="J6" s="78">
        <f>AVERAGE(F6:I6)</f>
        <v/>
      </c>
      <c r="K6" s="78">
        <f>IF(AND(J6&gt;=2.25,J6&lt;=3)=TRUE,"Alto-3",(IF(AND(J6&gt;=1.5,J6&lt;2.25)=TRUE,"Medio-2","Bajo-1")))</f>
        <v/>
      </c>
      <c r="L6" s="79" t="n">
        <v>1</v>
      </c>
      <c r="N6" s="88" t="n">
        <v>1</v>
      </c>
      <c r="O6" s="88" t="n">
        <v>2</v>
      </c>
      <c r="P6" s="88" t="n">
        <v>3</v>
      </c>
    </row>
    <row r="7" ht="64.5" customHeight="1" thickBot="1">
      <c r="A7" s="71" t="inlineStr">
        <is>
          <t xml:space="preserve">Valor </t>
        </is>
      </c>
      <c r="B7" s="71" t="inlineStr">
        <is>
          <t xml:space="preserve">Motivación </t>
        </is>
      </c>
      <c r="C7" s="89" t="inlineStr">
        <is>
          <t xml:space="preserve">Interés que puede suscitar un Servicio Primario de Datos (SPD) como objetivo de ataque, debido a los potenciales beneficios: económicos, satisfacción personal, de competitividad o de otra índole, que representen para alguien. </t>
        </is>
      </c>
      <c r="E7" s="74" t="n"/>
      <c r="F7" s="78" t="n"/>
      <c r="G7" s="78" t="n"/>
      <c r="H7" s="78" t="n"/>
      <c r="I7" s="78" t="n">
        <v>1</v>
      </c>
      <c r="J7" s="78">
        <f>AVERAGE(F7:I7)</f>
        <v/>
      </c>
      <c r="K7" s="78">
        <f>IF(AND(J7&gt;=2.25,J7&lt;=3)=TRUE,"Alto-3",(IF(AND(J7&gt;=1.5,J7&lt;2.25)=TRUE,"Medio-2","Bajo-1")))</f>
        <v/>
      </c>
      <c r="L7" s="79" t="n">
        <v>1</v>
      </c>
      <c r="N7" s="190" t="inlineStr">
        <is>
          <t xml:space="preserve">IMPACTO </t>
        </is>
      </c>
    </row>
    <row r="8" ht="26.25" customHeight="1" thickBot="1">
      <c r="A8" s="75" t="n">
        <v>1</v>
      </c>
      <c r="B8" s="76" t="inlineStr">
        <is>
          <t xml:space="preserve">Bajo </t>
        </is>
      </c>
      <c r="C8" s="77" t="inlineStr">
        <is>
          <t xml:space="preserve">No reporta ningún beneficio o es insignificante, la explotación de vulnerabilidades asociadas al SPD.  </t>
        </is>
      </c>
      <c r="E8" s="74" t="n"/>
      <c r="F8" s="78" t="n"/>
      <c r="G8" s="78" t="n"/>
      <c r="H8" s="78" t="n"/>
      <c r="I8" s="78" t="n">
        <v>1</v>
      </c>
      <c r="J8" s="78">
        <f>AVERAGE(F8:I8)</f>
        <v/>
      </c>
      <c r="K8" s="78">
        <f>IF(AND(J8&gt;=2.25,J8&lt;=3)=TRUE,"Alto-3",(IF(AND(J8&gt;=1.5,J8&lt;2.25)=TRUE,"Medio-2","Bajo-1")))</f>
        <v/>
      </c>
      <c r="L8" s="79" t="n">
        <v>1</v>
      </c>
    </row>
    <row r="9" ht="26.25" customHeight="1" thickBot="1">
      <c r="A9" s="75" t="n">
        <v>2</v>
      </c>
      <c r="B9" s="76" t="inlineStr">
        <is>
          <t xml:space="preserve">Medio </t>
        </is>
      </c>
      <c r="C9" s="77" t="inlineStr">
        <is>
          <t xml:space="preserve">Hay beneficios esperados pero de poco interés de obtener un beneficio por parte del atacante. </t>
        </is>
      </c>
      <c r="E9" s="74" t="n"/>
      <c r="F9" s="78" t="n"/>
      <c r="G9" s="78" t="n"/>
      <c r="H9" s="78" t="n"/>
      <c r="I9" s="78" t="n">
        <v>1</v>
      </c>
      <c r="J9" s="78">
        <f>AVERAGE(F9:I9)</f>
        <v/>
      </c>
      <c r="K9" s="78">
        <f>IF(AND(J9&gt;=2.25,J9&lt;=3)=TRUE,"Alto-3",(IF(AND(J9&gt;=1.5,J9&lt;2.25)=TRUE,"Medio-2","Bajo-1")))</f>
        <v/>
      </c>
      <c r="L9" s="79" t="n">
        <v>1</v>
      </c>
    </row>
    <row r="10" ht="26.25" customHeight="1" thickBot="1">
      <c r="A10" s="75" t="n">
        <v>3</v>
      </c>
      <c r="B10" s="76" t="inlineStr">
        <is>
          <t xml:space="preserve">Alto </t>
        </is>
      </c>
      <c r="C10" s="77" t="inlineStr">
        <is>
          <t xml:space="preserve">Los beneficios y satisfacciones esperados son altamente motivadores </t>
        </is>
      </c>
      <c r="E10" s="74" t="n"/>
      <c r="F10" s="78" t="n"/>
      <c r="G10" s="78" t="n"/>
      <c r="H10" s="78" t="n"/>
      <c r="I10" s="78" t="n">
        <v>1</v>
      </c>
      <c r="J10" s="78">
        <f>AVERAGE(F10:I10)</f>
        <v/>
      </c>
      <c r="K10" s="78">
        <f>IF(AND(J10&gt;=2.25,J10&lt;=3)=TRUE,"Alto-3",(IF(AND(J10&gt;=1.5,J10&lt;2.25)=TRUE,"Medio-2","Bajo-1")))</f>
        <v/>
      </c>
      <c r="L10" s="79" t="n">
        <v>1</v>
      </c>
    </row>
    <row r="11" ht="13.5" customHeight="1" thickBot="1">
      <c r="E11" s="74" t="n"/>
      <c r="F11" s="78" t="n"/>
      <c r="G11" s="78" t="n"/>
      <c r="H11" s="78" t="n"/>
      <c r="I11" s="78" t="n">
        <v>1</v>
      </c>
      <c r="J11" s="78">
        <f>AVERAGE(F11:I11)</f>
        <v/>
      </c>
      <c r="K11" s="78">
        <f>IF(AND(J11&gt;=2.25,J11&lt;=3)=TRUE,"Alto-3",(IF(AND(J11&gt;=1.5,J11&lt;2.25)=TRUE,"Medio-2","Bajo-1")))</f>
        <v/>
      </c>
      <c r="L11" s="79" t="n">
        <v>1</v>
      </c>
    </row>
    <row r="12" ht="26.25" customHeight="1" thickBot="1">
      <c r="A12" s="71" t="inlineStr">
        <is>
          <t xml:space="preserve">Valor </t>
        </is>
      </c>
      <c r="B12" s="71" t="inlineStr">
        <is>
          <t xml:space="preserve">Recursos requeridos </t>
        </is>
      </c>
      <c r="C12" s="89" t="inlineStr">
        <is>
          <t xml:space="preserve">Nivel de recursos necesarios para explotar la vulnerabilidad.  </t>
        </is>
      </c>
      <c r="E12" s="74" t="n"/>
      <c r="F12" s="78" t="n"/>
      <c r="G12" s="78" t="n"/>
      <c r="H12" s="78" t="n"/>
      <c r="I12" s="78" t="n">
        <v>1</v>
      </c>
      <c r="J12" s="78">
        <f>AVERAGE(F12:I12)</f>
        <v/>
      </c>
      <c r="K12" s="78">
        <f>IF(AND(J12&gt;=2.25,J12&lt;=3)=TRUE,"Alto-3",(IF(AND(J12&gt;=1.5,J12&lt;2.25)=TRUE,"Medio-2","Bajo-1")))</f>
        <v/>
      </c>
      <c r="L12" s="79" t="n">
        <v>1</v>
      </c>
    </row>
    <row r="13" ht="13.5" customHeight="1" thickBot="1">
      <c r="A13" s="75" t="n">
        <v>1</v>
      </c>
      <c r="B13" s="76" t="inlineStr">
        <is>
          <t xml:space="preserve">Alto </t>
        </is>
      </c>
      <c r="C13" s="77" t="inlineStr">
        <is>
          <t xml:space="preserve">Requiere muchos recursos. </t>
        </is>
      </c>
      <c r="E13" s="74" t="n"/>
      <c r="F13" s="78" t="n"/>
      <c r="G13" s="78" t="n"/>
      <c r="H13" s="78" t="n"/>
      <c r="I13" s="78" t="n">
        <v>1</v>
      </c>
      <c r="J13" s="78">
        <f>AVERAGE(F13:I13)</f>
        <v/>
      </c>
      <c r="K13" s="78">
        <f>IF(AND(J13&gt;=2.25,J13&lt;=3)=TRUE,"Alto-3",(IF(AND(J13&gt;=1.5,J13&lt;2.25)=TRUE,"Medio-2","Bajo-1")))</f>
        <v/>
      </c>
      <c r="L13" s="79" t="n">
        <v>1</v>
      </c>
    </row>
    <row r="14" ht="13.5" customHeight="1" thickBot="1">
      <c r="A14" s="75" t="n">
        <v>2</v>
      </c>
      <c r="B14" s="76" t="inlineStr">
        <is>
          <t xml:space="preserve">Medio </t>
        </is>
      </c>
      <c r="C14" s="77" t="inlineStr">
        <is>
          <t xml:space="preserve">Requiere un grado medio de recursos. </t>
        </is>
      </c>
      <c r="E14" s="74" t="n"/>
      <c r="F14" s="78" t="n"/>
      <c r="G14" s="78" t="n"/>
      <c r="H14" s="78" t="n"/>
      <c r="I14" s="78" t="n">
        <v>1</v>
      </c>
      <c r="J14" s="78">
        <f>AVERAGE(F14:I14)</f>
        <v/>
      </c>
      <c r="K14" s="78">
        <f>IF(AND(J14&gt;=2.25,J14&lt;=3)=TRUE,"Alto-3",(IF(AND(J14&gt;=1.5,J14&lt;2.25)=TRUE,"Medio-2","Bajo-1")))</f>
        <v/>
      </c>
      <c r="L14" s="79" t="n">
        <v>1</v>
      </c>
    </row>
    <row r="15" ht="13.5" customHeight="1" thickBot="1">
      <c r="A15" s="75" t="n">
        <v>3</v>
      </c>
      <c r="B15" s="76" t="inlineStr">
        <is>
          <t xml:space="preserve">Bajo </t>
        </is>
      </c>
      <c r="C15" s="77" t="inlineStr">
        <is>
          <t xml:space="preserve">Requiere muy pocos recursos . Prácticamente ninguna. </t>
        </is>
      </c>
      <c r="E15" s="74" t="n"/>
      <c r="F15" s="78" t="n"/>
      <c r="G15" s="78" t="n"/>
      <c r="H15" s="78" t="n"/>
      <c r="I15" s="78" t="n">
        <v>1</v>
      </c>
      <c r="J15" s="78">
        <f>AVERAGE(F15:I15)</f>
        <v/>
      </c>
      <c r="K15" s="78">
        <f>IF(AND(J15&gt;=2.25,J15&lt;=3)=TRUE,"Alto-3",(IF(AND(J15&gt;=1.5,J15&lt;2.25)=TRUE,"Medio-2","Bajo-1")))</f>
        <v/>
      </c>
      <c r="L15" s="79" t="n">
        <v>1</v>
      </c>
    </row>
    <row r="16" ht="13.5" customHeight="1" thickBot="1">
      <c r="E16" s="74" t="n"/>
      <c r="F16" s="78" t="n"/>
      <c r="G16" s="78" t="n"/>
      <c r="H16" s="78" t="n"/>
      <c r="I16" s="78" t="n">
        <v>1</v>
      </c>
      <c r="J16" s="78">
        <f>AVERAGE(F16:I16)</f>
        <v/>
      </c>
      <c r="K16" s="78">
        <f>IF(AND(J16&gt;=2.25,J16&lt;=3)=TRUE,"Alto-3",(IF(AND(J16&gt;=1.5,J16&lt;2.25)=TRUE,"Medio-2","Bajo-1")))</f>
        <v/>
      </c>
      <c r="L16" s="79" t="n">
        <v>1</v>
      </c>
    </row>
    <row r="17" ht="13.5" customHeight="1" thickBot="1">
      <c r="A17" s="71" t="inlineStr">
        <is>
          <t xml:space="preserve">Valor </t>
        </is>
      </c>
      <c r="B17" s="71" t="inlineStr">
        <is>
          <t xml:space="preserve"> Accesibilidad </t>
        </is>
      </c>
      <c r="C17" s="89" t="inlineStr">
        <is>
          <t xml:space="preserve">Mide la facilidad de acceso </t>
        </is>
      </c>
      <c r="E17" s="74" t="n"/>
      <c r="F17" s="78" t="n"/>
      <c r="G17" s="78" t="n"/>
      <c r="H17" s="78" t="n"/>
      <c r="I17" s="78" t="n">
        <v>1</v>
      </c>
      <c r="J17" s="78">
        <f>AVERAGE(F17:I17)</f>
        <v/>
      </c>
      <c r="K17" s="78">
        <f>IF(AND(J17&gt;=2.25,J17&lt;=3)=TRUE,"Alto-3",(IF(AND(J17&gt;=1.5,J17&lt;2.25)=TRUE,"Medio-2","Bajo-1")))</f>
        <v/>
      </c>
      <c r="L17" s="79" t="n">
        <v>1</v>
      </c>
    </row>
    <row r="18" ht="13.5" customHeight="1" thickBot="1">
      <c r="A18" s="75" t="n">
        <v>1</v>
      </c>
      <c r="B18" s="76" t="inlineStr">
        <is>
          <t xml:space="preserve">Bajo </t>
        </is>
      </c>
      <c r="C18" s="77" t="inlineStr">
        <is>
          <t xml:space="preserve">Se tiene muchos controles aplicados y funcionando </t>
        </is>
      </c>
      <c r="E18" s="74" t="n"/>
      <c r="F18" s="78" t="n"/>
      <c r="G18" s="78" t="n"/>
      <c r="H18" s="78" t="n"/>
      <c r="I18" s="78" t="n">
        <v>1</v>
      </c>
      <c r="J18" s="78">
        <f>AVERAGE(F18:I18)</f>
        <v/>
      </c>
      <c r="K18" s="78">
        <f>IF(AND(J18&gt;=2.25,J18&lt;=3)=TRUE,"Alto-3",(IF(AND(J18&gt;=1.5,J18&lt;2.25)=TRUE,"Medio-2","Bajo-1")))</f>
        <v/>
      </c>
      <c r="L18" s="79" t="n">
        <v>1</v>
      </c>
    </row>
    <row r="19" ht="26.25" customHeight="1" thickBot="1">
      <c r="A19" s="75" t="n">
        <v>2</v>
      </c>
      <c r="B19" s="76" t="inlineStr">
        <is>
          <t xml:space="preserve">Medio </t>
        </is>
      </c>
      <c r="C19" s="77" t="inlineStr">
        <is>
          <t xml:space="preserve">Se han aplicado ciertos controles, pero no se tiene la totalidad. </t>
        </is>
      </c>
      <c r="E19" s="74" t="n"/>
      <c r="F19" s="78" t="n"/>
      <c r="G19" s="78" t="n"/>
      <c r="H19" s="78" t="n"/>
      <c r="I19" s="78" t="n">
        <v>1</v>
      </c>
      <c r="J19" s="78">
        <f>AVERAGE(F19:I19)</f>
        <v/>
      </c>
      <c r="K19" s="78">
        <f>IF(AND(J19&gt;=2.25,J19&lt;=3)=TRUE,"Alto-3",(IF(AND(J19&gt;=1.5,J19&lt;2.25)=TRUE,"Medio-2","Bajo-1")))</f>
        <v/>
      </c>
      <c r="L19" s="79" t="n">
        <v>1</v>
      </c>
    </row>
    <row r="20" ht="13.5" customHeight="1" thickBot="1">
      <c r="A20" s="75" t="n">
        <v>3</v>
      </c>
      <c r="B20" s="76" t="inlineStr">
        <is>
          <t xml:space="preserve">Alto </t>
        </is>
      </c>
      <c r="C20" s="77" t="inlineStr">
        <is>
          <t xml:space="preserve">Se tienen deficientes controles o configuraciones por default. </t>
        </is>
      </c>
    </row>
    <row r="22" ht="13.5" customHeight="1" thickBot="1"/>
    <row r="23" ht="16.5" customHeight="1" thickBot="1">
      <c r="A23" s="234" t="inlineStr">
        <is>
          <t xml:space="preserve">IMPACTO: Confidencialidad, Integridad y Disponibilidad </t>
        </is>
      </c>
      <c r="B23" s="235" t="n"/>
      <c r="C23" s="236" t="n"/>
    </row>
    <row r="24" ht="51.75" customHeight="1" thickBot="1">
      <c r="A24" s="75" t="n">
        <v>1</v>
      </c>
      <c r="B24" s="90" t="inlineStr">
        <is>
          <t>Bajo</t>
        </is>
      </c>
      <c r="C24" s="91" t="inlineStr">
        <is>
          <t xml:space="preserve">Efecto adverso en un grado y duración tales que sólo tienen incidencia en lo procesos internos sin consecuencias trascendentes a nivel general de la organización y sin representar pérdidas significativas 
</t>
        </is>
      </c>
    </row>
    <row r="25" ht="51.75" customHeight="1" thickBot="1">
      <c r="A25" s="75" t="n">
        <v>2</v>
      </c>
      <c r="B25" s="90" t="inlineStr">
        <is>
          <t>Medio</t>
        </is>
      </c>
      <c r="C25" s="91" t="inlineStr">
        <is>
          <t xml:space="preserve">Efecto adverso en un grado y duración tales que sólo tienen incidencia en los procesos internos, sin llegar a tener consecuencias trascendentes a nivel corporativo, aunque con pérdidas significativas, financieras o de otra índole. 
</t>
        </is>
      </c>
    </row>
    <row r="26" ht="39" customHeight="1" thickBot="1">
      <c r="A26" s="75" t="n">
        <v>3</v>
      </c>
      <c r="B26" s="90" t="inlineStr">
        <is>
          <t>Alto</t>
        </is>
      </c>
      <c r="C26" s="91" t="inlineStr">
        <is>
          <t xml:space="preserve">Efecto adverso severo en un grado y duración tales que afectan las funciones  primarias de la organización, comprometiendo su capacidad competitiva 
</t>
        </is>
      </c>
    </row>
  </sheetData>
  <mergeCells count="7">
    <mergeCell ref="N7:P7"/>
    <mergeCell ref="N2:P2"/>
    <mergeCell ref="A1:C1"/>
    <mergeCell ref="A23:C23"/>
    <mergeCell ref="F1:K1"/>
    <mergeCell ref="E1:E2"/>
    <mergeCell ref="L1:L2"/>
  </mergeCells>
  <dataValidations count="1">
    <dataValidation sqref="L3:L19" showDropDown="0" showInputMessage="1" showErrorMessage="1" allowBlank="1" type="list">
      <formula1>"1,2,3"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Hector Fernando Vargas M</dc:creator>
  <dcterms:created xmlns:dcterms="http://purl.org/dc/terms/" xmlns:xsi="http://www.w3.org/2001/XMLSchema-instance" xsi:type="dcterms:W3CDTF">2008-08-13T17:40:33Z</dcterms:created>
  <dcterms:modified xmlns:dcterms="http://purl.org/dc/terms/" xmlns:xsi="http://www.w3.org/2001/XMLSchema-instance" xsi:type="dcterms:W3CDTF">2026-03-03T23:51:38Z</dcterms:modified>
</cp:coreProperties>
</file>